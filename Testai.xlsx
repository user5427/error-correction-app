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55d01c89b50cdc/Documents/Kodavimo teorija/A11_Uzduotis/"/>
    </mc:Choice>
  </mc:AlternateContent>
  <xr:revisionPtr revIDLastSave="31" documentId="13_ncr:1_{FF541C71-F3C8-4C73-B779-62CF1A8D2AC1}" xr6:coauthVersionLast="47" xr6:coauthVersionMax="47" xr10:uidLastSave="{34955FD1-9F7C-4BE2-9F79-26F1D0D0F01B}"/>
  <bookViews>
    <workbookView xWindow="-120" yWindow="-120" windowWidth="29040" windowHeight="15840" activeTab="4" xr2:uid="{DCA0CFD5-F80D-4776-BB29-94A80BBB126A}"/>
  </bookViews>
  <sheets>
    <sheet name="Eksperimentai" sheetId="1" r:id="rId1"/>
    <sheet name="1 Statistika" sheetId="2" r:id="rId2"/>
    <sheet name="2 Statistika" sheetId="3" r:id="rId3"/>
    <sheet name="3 Statistika" sheetId="4" r:id="rId4"/>
    <sheet name="4 statistik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 a="1"/>
  <c r="I4" i="5"/>
  <c r="I6" i="5" a="1"/>
  <c r="I6" i="5" s="1"/>
  <c r="I3" i="5" a="1"/>
  <c r="I3" i="5" s="1"/>
  <c r="I5" i="5" a="1"/>
  <c r="I5" i="5" s="1"/>
  <c r="I7" i="5" a="1"/>
  <c r="I7" i="5" s="1"/>
  <c r="I8" i="5" a="1"/>
  <c r="I8" i="5" s="1"/>
  <c r="I9" i="5" a="1"/>
  <c r="I9" i="5" s="1"/>
  <c r="I10" i="5" a="1"/>
  <c r="I10" i="5" s="1"/>
  <c r="H6" i="5" a="1"/>
  <c r="H6" i="5" s="1"/>
  <c r="H7" i="5" a="1"/>
  <c r="H7" i="5" s="1"/>
  <c r="H8" i="5" a="1"/>
  <c r="H8" i="5" s="1"/>
  <c r="H9" i="5" a="1"/>
  <c r="H9" i="5" s="1"/>
  <c r="H10" i="5" a="1"/>
  <c r="H10" i="5" s="1"/>
  <c r="H5" i="5" a="1"/>
  <c r="H5" i="5" s="1"/>
  <c r="H4" i="5" a="1"/>
  <c r="H4" i="5" s="1"/>
  <c r="H3" i="5" a="1"/>
  <c r="H3" i="5" s="1"/>
  <c r="G4" i="3" a="1"/>
  <c r="G4" i="3" s="1"/>
  <c r="G5" i="3" a="1"/>
  <c r="G5" i="3" s="1"/>
  <c r="G6" i="3" a="1"/>
  <c r="G6" i="3" s="1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 s="1"/>
  <c r="G13" i="3" a="1"/>
  <c r="G13" i="3" s="1"/>
  <c r="G14" i="3" a="1"/>
  <c r="G14" i="3" s="1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 s="1"/>
  <c r="G21" i="3" a="1"/>
  <c r="G21" i="3" s="1"/>
  <c r="G22" i="3" a="1"/>
  <c r="G22" i="3" s="1"/>
  <c r="G23" i="3" a="1"/>
  <c r="G23" i="3"/>
  <c r="G24" i="3" a="1"/>
  <c r="G24" i="3"/>
  <c r="G25" i="3" a="1"/>
  <c r="G25" i="3"/>
  <c r="G26" i="3" a="1"/>
  <c r="G26" i="3"/>
  <c r="G27" i="3" a="1"/>
  <c r="G27" i="3"/>
  <c r="G28" i="3" a="1"/>
  <c r="G28" i="3" s="1"/>
  <c r="G29" i="3" a="1"/>
  <c r="G29" i="3" s="1"/>
  <c r="G30" i="3" a="1"/>
  <c r="G30" i="3" s="1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 s="1"/>
  <c r="G37" i="3" a="1"/>
  <c r="G37" i="3" s="1"/>
  <c r="G38" i="3" a="1"/>
  <c r="G38" i="3" s="1"/>
  <c r="G39" i="3" a="1"/>
  <c r="G39" i="3"/>
  <c r="G40" i="3" a="1"/>
  <c r="G40" i="3"/>
  <c r="G41" i="3" a="1"/>
  <c r="G41" i="3"/>
  <c r="G42" i="3" a="1"/>
  <c r="G42" i="3"/>
  <c r="G43" i="3" a="1"/>
  <c r="G43" i="3"/>
  <c r="G44" i="3" a="1"/>
  <c r="G44" i="3" s="1"/>
  <c r="G45" i="3" a="1"/>
  <c r="G45" i="3" s="1"/>
  <c r="G46" i="3" a="1"/>
  <c r="G46" i="3" s="1"/>
  <c r="G47" i="3" a="1"/>
  <c r="G47" i="3"/>
  <c r="G48" i="3" a="1"/>
  <c r="G48" i="3"/>
  <c r="G49" i="3" a="1"/>
  <c r="G49" i="3"/>
  <c r="G50" i="3" a="1"/>
  <c r="G50" i="3"/>
  <c r="G51" i="3" a="1"/>
  <c r="G51" i="3"/>
  <c r="G52" i="3" a="1"/>
  <c r="G52" i="3" s="1"/>
  <c r="G53" i="3" a="1"/>
  <c r="G53" i="3" s="1"/>
  <c r="G54" i="3" a="1"/>
  <c r="G54" i="3" s="1"/>
  <c r="G55" i="3" a="1"/>
  <c r="G55" i="3"/>
  <c r="G56" i="3" a="1"/>
  <c r="G56" i="3"/>
  <c r="G57" i="3" a="1"/>
  <c r="G57" i="3"/>
  <c r="G58" i="3" a="1"/>
  <c r="G58" i="3"/>
  <c r="G59" i="3" a="1"/>
  <c r="G59" i="3"/>
  <c r="G60" i="3" a="1"/>
  <c r="G60" i="3" s="1"/>
  <c r="G61" i="3" a="1"/>
  <c r="G61" i="3" s="1"/>
  <c r="G62" i="3" a="1"/>
  <c r="G62" i="3" s="1"/>
  <c r="G63" i="3" a="1"/>
  <c r="G63" i="3"/>
  <c r="G64" i="3" a="1"/>
  <c r="G64" i="3"/>
  <c r="G65" i="3" a="1"/>
  <c r="G65" i="3"/>
  <c r="G66" i="3" a="1"/>
  <c r="G66" i="3"/>
  <c r="G67" i="3" a="1"/>
  <c r="G67" i="3"/>
  <c r="G68" i="3" a="1"/>
  <c r="G68" i="3" s="1"/>
  <c r="G69" i="3" a="1"/>
  <c r="G69" i="3" s="1"/>
  <c r="G70" i="3" a="1"/>
  <c r="G70" i="3" s="1"/>
  <c r="G71" i="3" a="1"/>
  <c r="G71" i="3"/>
  <c r="G72" i="3" a="1"/>
  <c r="G72" i="3"/>
  <c r="G73" i="3" a="1"/>
  <c r="G73" i="3"/>
  <c r="G74" i="3" a="1"/>
  <c r="G74" i="3"/>
  <c r="G75" i="3" a="1"/>
  <c r="G75" i="3"/>
  <c r="G76" i="3" a="1"/>
  <c r="G76" i="3" s="1"/>
  <c r="G77" i="3" a="1"/>
  <c r="G77" i="3" s="1"/>
  <c r="G78" i="3" a="1"/>
  <c r="G78" i="3" s="1"/>
  <c r="G79" i="3" a="1"/>
  <c r="G79" i="3"/>
  <c r="G80" i="3" a="1"/>
  <c r="G80" i="3"/>
  <c r="G81" i="3" a="1"/>
  <c r="G81" i="3"/>
  <c r="G82" i="3" a="1"/>
  <c r="G82" i="3"/>
  <c r="G83" i="3" a="1"/>
  <c r="G83" i="3"/>
  <c r="G84" i="3" a="1"/>
  <c r="G84" i="3" s="1"/>
  <c r="G85" i="3" a="1"/>
  <c r="G85" i="3" s="1"/>
  <c r="G86" i="3" a="1"/>
  <c r="G86" i="3" s="1"/>
  <c r="G87" i="3" a="1"/>
  <c r="G87" i="3"/>
  <c r="G88" i="3" a="1"/>
  <c r="G88" i="3"/>
  <c r="G89" i="3" a="1"/>
  <c r="G89" i="3"/>
  <c r="G90" i="3" a="1"/>
  <c r="G90" i="3"/>
  <c r="G91" i="3" a="1"/>
  <c r="G91" i="3"/>
  <c r="G92" i="3" a="1"/>
  <c r="G92" i="3" s="1"/>
  <c r="G93" i="3" a="1"/>
  <c r="G93" i="3" s="1"/>
  <c r="G94" i="3" a="1"/>
  <c r="G94" i="3" s="1"/>
  <c r="G95" i="3" a="1"/>
  <c r="G95" i="3"/>
  <c r="G96" i="3" a="1"/>
  <c r="G96" i="3"/>
  <c r="G97" i="3" a="1"/>
  <c r="G97" i="3"/>
  <c r="G98" i="3" a="1"/>
  <c r="G98" i="3"/>
  <c r="G99" i="3" a="1"/>
  <c r="G99" i="3"/>
  <c r="G100" i="3" a="1"/>
  <c r="G100" i="3" s="1"/>
  <c r="G101" i="3" a="1"/>
  <c r="G101" i="3" s="1"/>
  <c r="G102" i="3" a="1"/>
  <c r="G102" i="3" s="1"/>
  <c r="G103" i="3" a="1"/>
  <c r="G103" i="3"/>
  <c r="G104" i="3" a="1"/>
  <c r="G104" i="3"/>
  <c r="G105" i="3" a="1"/>
  <c r="G105" i="3"/>
  <c r="G106" i="3" a="1"/>
  <c r="G106" i="3" s="1"/>
  <c r="G107" i="3" a="1"/>
  <c r="G107" i="3" s="1"/>
  <c r="G108" i="3" a="1"/>
  <c r="G108" i="3" s="1"/>
  <c r="G109" i="3" a="1"/>
  <c r="G109" i="3" s="1"/>
  <c r="G110" i="3" a="1"/>
  <c r="G110" i="3" s="1"/>
  <c r="G111" i="3" a="1"/>
  <c r="G111" i="3" s="1"/>
  <c r="G112" i="3" a="1"/>
  <c r="G112" i="3"/>
  <c r="G113" i="3" a="1"/>
  <c r="G113" i="3"/>
  <c r="G114" i="3" a="1"/>
  <c r="G114" i="3" s="1"/>
  <c r="G115" i="3" a="1"/>
  <c r="G115" i="3" s="1"/>
  <c r="G116" i="3" a="1"/>
  <c r="G116" i="3" s="1"/>
  <c r="G117" i="3" a="1"/>
  <c r="G117" i="3" s="1"/>
  <c r="G118" i="3" a="1"/>
  <c r="G118" i="3" s="1"/>
  <c r="G119" i="3" a="1"/>
  <c r="G119" i="3" s="1"/>
  <c r="G120" i="3" a="1"/>
  <c r="G120" i="3"/>
  <c r="G121" i="3" a="1"/>
  <c r="G121" i="3"/>
  <c r="G122" i="3" a="1"/>
  <c r="G122" i="3" s="1"/>
  <c r="G123" i="3" a="1"/>
  <c r="G123" i="3" s="1"/>
  <c r="G124" i="3" a="1"/>
  <c r="G124" i="3" s="1"/>
  <c r="G125" i="3" a="1"/>
  <c r="G125" i="3" s="1"/>
  <c r="G126" i="3" a="1"/>
  <c r="G126" i="3" s="1"/>
  <c r="G127" i="3" a="1"/>
  <c r="G127" i="3" s="1"/>
  <c r="G128" i="3" a="1"/>
  <c r="G128" i="3" s="1"/>
  <c r="G129" i="3" a="1"/>
  <c r="G129" i="3"/>
  <c r="G130" i="3" a="1"/>
  <c r="G130" i="3" s="1"/>
  <c r="G131" i="3" a="1"/>
  <c r="G131" i="3" s="1"/>
  <c r="G132" i="3" a="1"/>
  <c r="G132" i="3" s="1"/>
  <c r="G133" i="3" a="1"/>
  <c r="G133" i="3" s="1"/>
  <c r="G134" i="3" a="1"/>
  <c r="G134" i="3" s="1"/>
  <c r="G3" i="3" a="1"/>
  <c r="G3" i="3" s="1"/>
  <c r="K8" i="2"/>
  <c r="K7" i="2"/>
  <c r="K6" i="2"/>
  <c r="K4" i="2"/>
  <c r="K3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15" i="2"/>
  <c r="G16" i="2"/>
  <c r="G17" i="2"/>
  <c r="G18" i="2"/>
  <c r="G19" i="2"/>
  <c r="G20" i="2"/>
  <c r="G21" i="2"/>
  <c r="G22" i="2"/>
  <c r="G23" i="2"/>
  <c r="G24" i="2"/>
  <c r="G14" i="2"/>
  <c r="G4" i="2"/>
  <c r="G5" i="2"/>
  <c r="G6" i="2"/>
  <c r="G7" i="2"/>
  <c r="G8" i="2"/>
  <c r="G9" i="2"/>
  <c r="G10" i="2"/>
  <c r="G11" i="2"/>
  <c r="G12" i="2"/>
  <c r="G13" i="2"/>
  <c r="G3" i="2"/>
  <c r="K8" i="3" l="1"/>
  <c r="K6" i="3"/>
  <c r="K7" i="3"/>
  <c r="K5" i="3"/>
  <c r="K4" i="3"/>
  <c r="K3" i="3"/>
  <c r="K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</valueMetadata>
</metadata>
</file>

<file path=xl/sharedStrings.xml><?xml version="1.0" encoding="utf-8"?>
<sst xmlns="http://schemas.openxmlformats.org/spreadsheetml/2006/main" count="535" uniqueCount="95">
  <si>
    <t>1 Scenarijaus eksperimentai</t>
  </si>
  <si>
    <t>k</t>
  </si>
  <si>
    <t>n</t>
  </si>
  <si>
    <t>p</t>
  </si>
  <si>
    <t>G</t>
  </si>
  <si>
    <t>užkoduota</t>
  </si>
  <si>
    <t>kanalo išeitis</t>
  </si>
  <si>
    <t>dekoduota</t>
  </si>
  <si>
    <t>2 Scenarijaus eksperimentai</t>
  </si>
  <si>
    <t>įvestis</t>
  </si>
  <si>
    <t>su kodu</t>
  </si>
  <si>
    <t>be kodo</t>
  </si>
  <si>
    <t>3 Scenarijaus eksperimentai</t>
  </si>
  <si>
    <t>laikas</t>
  </si>
  <si>
    <t>10000000000000000</t>
  </si>
  <si>
    <t>pranešimas</t>
  </si>
  <si>
    <t>1</t>
  </si>
  <si>
    <t>0</t>
  </si>
  <si>
    <t>00000000000000000</t>
  </si>
  <si>
    <t>1000000000000000</t>
  </si>
  <si>
    <t>1100000000000100</t>
  </si>
  <si>
    <t>0000000000100000</t>
  </si>
  <si>
    <t>0000000000000000</t>
  </si>
  <si>
    <t>0100000000000000</t>
  </si>
  <si>
    <t>1000000000100000</t>
  </si>
  <si>
    <t>Test</t>
  </si>
  <si>
    <t>Pa{T</t>
  </si>
  <si>
    <t>Kodavimo teorija</t>
  </si>
  <si>
    <t>�n$Cv(�g$teorQja</t>
  </si>
  <si>
    <t>1,5s</t>
  </si>
  <si>
    <t>1110001011111111</t>
  </si>
  <si>
    <t>-</t>
  </si>
  <si>
    <t>0110001011111110</t>
  </si>
  <si>
    <t>0000100000000010</t>
  </si>
  <si>
    <t>Teqt</t>
  </si>
  <si>
    <t>Zkdavi�o Ta�byja</t>
  </si>
  <si>
    <t>27,7s</t>
  </si>
  <si>
    <t>Klaidos, kurias nepavyko ištaisyti su kodu.</t>
  </si>
  <si>
    <t>136,70s</t>
  </si>
  <si>
    <t>6,71s</t>
  </si>
  <si>
    <t>12,37s</t>
  </si>
  <si>
    <t>G=(I|A), kur A nulinė</t>
  </si>
  <si>
    <t>0000</t>
  </si>
  <si>
    <t>1111000000000000</t>
  </si>
  <si>
    <t>1111</t>
  </si>
  <si>
    <t>1010000000000000</t>
  </si>
  <si>
    <t>1010</t>
  </si>
  <si>
    <t>1011000110000000</t>
  </si>
  <si>
    <t>1011</t>
  </si>
  <si>
    <t>Pastebėkime, kad kai A=0 ir k=1 tai tik pirmas bitas iš kanalo nusako ar pranešimas bus dekoduotas kaip 1 ar 0. Kai k&gt;1 ši taisyklė nebegalioja.</t>
  </si>
  <si>
    <t>Kai k = 1; n = 16; p = 0,1; G = 000000000000000;  palygine išvestis tiek su kodu, tiek be kodo, gauname tai, kad kodas ištaisė 0 klaidų.</t>
  </si>
  <si>
    <t xml:space="preserve">Kai k =1; n = 16; G = 1110001011111111; </t>
  </si>
  <si>
    <t>Visos klaidos.</t>
  </si>
  <si>
    <t>20,69s</t>
  </si>
  <si>
    <t>Statistika</t>
  </si>
  <si>
    <t>Pranešimas</t>
  </si>
  <si>
    <t>P</t>
  </si>
  <si>
    <t>Išvestis</t>
  </si>
  <si>
    <t>Klaidos</t>
  </si>
  <si>
    <t>Apibendrinimas</t>
  </si>
  <si>
    <t>Klaidų vidurkis</t>
  </si>
  <si>
    <t>G = (I|A), kur A atsitiktinai sugeneruotas</t>
  </si>
  <si>
    <t>0001</t>
  </si>
  <si>
    <t>0010</t>
  </si>
  <si>
    <t>0011</t>
  </si>
  <si>
    <t>1001</t>
  </si>
  <si>
    <t>0100</t>
  </si>
  <si>
    <t>1101</t>
  </si>
  <si>
    <t>0101</t>
  </si>
  <si>
    <t>1100</t>
  </si>
  <si>
    <t>0110</t>
  </si>
  <si>
    <t>1000</t>
  </si>
  <si>
    <t>1110</t>
  </si>
  <si>
    <t>0111</t>
  </si>
  <si>
    <t>Gali atrodyti, kad mūsų algoritmas neveikia, bet gaunami būtent tokie rezultatai, nes A = 0 ir k = 1</t>
  </si>
  <si>
    <t>Įdomu tai, kad jeigu labiau panagrinėsime nuotraukas, pamatytume, kad kai kuriose vietose kodas pikselius ištaisė dalinai</t>
  </si>
  <si>
    <t>Taip yra todėl, kad pikselių vertės skirstomos  į RGB (raudoną, žalią, mėlyną), todėl net jeigu ir įvyko klaida keliose reikšmėse, tai kodas galėjo ištaisyti bent vieną iš tų reikšmių.</t>
  </si>
  <si>
    <t>Paryškintos vietos kur dalinai buvo ištaisytos pikselių vertės.</t>
  </si>
  <si>
    <t>Laikas</t>
  </si>
  <si>
    <t>Su kodu</t>
  </si>
  <si>
    <t>Be kodo</t>
  </si>
  <si>
    <t>Kodavimo teorija.</t>
  </si>
  <si>
    <t>Kkdawieo(tmorina.</t>
  </si>
  <si>
    <t>Kfdavimo teorija.</t>
  </si>
  <si>
    <t>Ko`avimg0teoraja&gt;</t>
  </si>
  <si>
    <t>Kodavimo tefrija.</t>
  </si>
  <si>
    <t>k}`avimo�}eoz)ja&gt;</t>
  </si>
  <si>
    <t>Kodaviio teorija.</t>
  </si>
  <si>
    <t>Jod!vim_ teoryjc&gt;</t>
  </si>
  <si>
    <t>kodavimO teopiha.</t>
  </si>
  <si>
    <t>Kod`vi}o teozija.</t>
  </si>
  <si>
    <t>KodaV)mo Te/zija.</t>
  </si>
  <si>
    <t>Klaidos su kodu</t>
  </si>
  <si>
    <t>Klaidos be kodo</t>
  </si>
  <si>
    <t>Sunku testuotį teksto scenarijų, nes kai kurie simboliai tampa nematomi.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</si>
</sst>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49" fontId="0" fillId="0" borderId="1" xfId="1" applyNumberFormat="1" applyFon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4" borderId="2" xfId="0" applyFill="1" applyBorder="1"/>
    <xf numFmtId="0" fontId="0" fillId="4" borderId="0" xfId="0" applyFill="1"/>
    <xf numFmtId="49" fontId="0" fillId="0" borderId="1" xfId="0" applyNumberFormat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3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vertical="top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vertical="top"/>
    </xf>
    <xf numFmtId="0" fontId="0" fillId="0" borderId="11" xfId="0" applyBorder="1"/>
    <xf numFmtId="0" fontId="0" fillId="5" borderId="1" xfId="0" applyFill="1" applyBorder="1"/>
    <xf numFmtId="0" fontId="0" fillId="5" borderId="12" xfId="0" applyFill="1" applyBorder="1" applyAlignment="1">
      <alignment horizontal="left"/>
    </xf>
    <xf numFmtId="49" fontId="0" fillId="2" borderId="1" xfId="0" applyNumberFormat="1" applyFill="1" applyBorder="1"/>
    <xf numFmtId="0" fontId="0" fillId="6" borderId="1" xfId="0" applyFill="1" applyBorder="1"/>
    <xf numFmtId="49" fontId="0" fillId="6" borderId="1" xfId="0" applyNumberFormat="1" applyFill="1" applyBorder="1"/>
    <xf numFmtId="0" fontId="0" fillId="4" borderId="1" xfId="0" applyFill="1" applyBorder="1"/>
    <xf numFmtId="0" fontId="0" fillId="5" borderId="12" xfId="0" applyFill="1" applyBorder="1" applyAlignment="1">
      <alignment horizontal="left" wrapText="1"/>
    </xf>
    <xf numFmtId="49" fontId="0" fillId="2" borderId="1" xfId="0" applyNumberFormat="1" applyFill="1" applyBorder="1" applyAlignment="1">
      <alignment horizontal="right"/>
    </xf>
    <xf numFmtId="49" fontId="0" fillId="6" borderId="1" xfId="0" applyNumberFormat="1" applyFill="1" applyBorder="1" applyAlignment="1">
      <alignment horizontal="right"/>
    </xf>
    <xf numFmtId="0" fontId="0" fillId="5" borderId="1" xfId="0" applyFill="1" applyBorder="1" applyAlignment="1">
      <alignment wrapText="1"/>
    </xf>
    <xf numFmtId="0" fontId="0" fillId="2" borderId="2" xfId="0" applyFill="1" applyBorder="1"/>
    <xf numFmtId="49" fontId="0" fillId="2" borderId="2" xfId="0" applyNumberFormat="1" applyFill="1" applyBorder="1"/>
    <xf numFmtId="49" fontId="0" fillId="2" borderId="2" xfId="0" applyNumberFormat="1" applyFill="1" applyBorder="1" applyAlignment="1">
      <alignment horizontal="right"/>
    </xf>
    <xf numFmtId="0" fontId="3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49" fontId="0" fillId="0" borderId="5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3">
    <cellStyle name="Įprastas" xfId="0" builtinId="0"/>
    <cellStyle name="Kablelis" xfId="1" builtinId="3"/>
    <cellStyle name="Kablelis 2" xfId="2" xr:uid="{335D08C6-B073-4879-A7CA-5945563DA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Klaid</a:t>
            </a:r>
            <a:r>
              <a:rPr lang="lt-LT"/>
              <a:t>ų</a:t>
            </a:r>
            <a:r>
              <a:rPr lang="lt-LT" baseline="0"/>
              <a:t> priklausomybė nuo P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 Statistika'!$K$2</c:f>
              <c:strCache>
                <c:ptCount val="1"/>
                <c:pt idx="0">
                  <c:v>Klaidų vidurkis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 Statistika'!$K$3:$K$8</c:f>
              <c:numCache>
                <c:formatCode>General</c:formatCode>
                <c:ptCount val="6"/>
                <c:pt idx="0">
                  <c:v>0</c:v>
                </c:pt>
                <c:pt idx="1">
                  <c:v>9.0909090909090912E-2</c:v>
                </c:pt>
                <c:pt idx="2">
                  <c:v>0.22727272727272727</c:v>
                </c:pt>
                <c:pt idx="3">
                  <c:v>0.27272727272727271</c:v>
                </c:pt>
                <c:pt idx="4">
                  <c:v>0.31818181818181818</c:v>
                </c:pt>
                <c:pt idx="5">
                  <c:v>0.59090909090909094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A8-4B0F-9A6A-6218D8233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69087"/>
        <c:axId val="997668607"/>
      </c:lineChart>
      <c:lineChart>
        <c:grouping val="standard"/>
        <c:varyColors val="0"/>
        <c:ser>
          <c:idx val="0"/>
          <c:order val="0"/>
          <c:tx>
            <c:strRef>
              <c:f>'1 Statistika'!$J$2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 Statistika'!$J$3:$J$8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A8-4B0F-9A6A-6218D8233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341232"/>
        <c:axId val="943348912"/>
      </c:lineChart>
      <c:catAx>
        <c:axId val="99766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7668607"/>
        <c:crosses val="autoZero"/>
        <c:auto val="1"/>
        <c:lblAlgn val="ctr"/>
        <c:lblOffset val="100"/>
        <c:noMultiLvlLbl val="0"/>
      </c:catAx>
      <c:valAx>
        <c:axId val="9976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Klaidų vidurkis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97669087"/>
        <c:crosses val="autoZero"/>
        <c:crossBetween val="between"/>
      </c:valAx>
      <c:valAx>
        <c:axId val="943348912"/>
        <c:scaling>
          <c:orientation val="minMax"/>
          <c:max val="0.7000000000000000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Tikimybė</a:t>
                </a:r>
                <a:r>
                  <a:rPr lang="lt-LT" baseline="0"/>
                  <a:t> P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43341232"/>
        <c:crosses val="max"/>
        <c:crossBetween val="between"/>
      </c:valAx>
      <c:catAx>
        <c:axId val="943341232"/>
        <c:scaling>
          <c:orientation val="minMax"/>
        </c:scaling>
        <c:delete val="1"/>
        <c:axPos val="b"/>
        <c:majorTickMark val="out"/>
        <c:minorTickMark val="none"/>
        <c:tickLblPos val="nextTo"/>
        <c:crossAx val="9433489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Klaid</a:t>
            </a:r>
            <a:r>
              <a:rPr lang="lt-LT"/>
              <a:t>ų</a:t>
            </a:r>
            <a:r>
              <a:rPr lang="lt-LT" baseline="0"/>
              <a:t> priklausomybė nuo P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 Statistika'!$K$2</c:f>
              <c:strCache>
                <c:ptCount val="1"/>
                <c:pt idx="0">
                  <c:v>Klaidų vidurkis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 Statistika'!$K$3:$K$8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0.31818181818181818</c:v>
                </c:pt>
                <c:pt idx="3">
                  <c:v>1</c:v>
                </c:pt>
                <c:pt idx="4">
                  <c:v>1.0909090909090908</c:v>
                </c:pt>
                <c:pt idx="5">
                  <c:v>2.0454545454545454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3-45FE-8FC7-F91125D24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69087"/>
        <c:axId val="997668607"/>
      </c:lineChart>
      <c:lineChart>
        <c:grouping val="standard"/>
        <c:varyColors val="0"/>
        <c:ser>
          <c:idx val="0"/>
          <c:order val="0"/>
          <c:tx>
            <c:strRef>
              <c:f>'2 Statistika'!$J$2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 Statistika'!$J$3:$J$8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3-45FE-8FC7-F91125D24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544687"/>
        <c:axId val="1820550927"/>
      </c:lineChart>
      <c:catAx>
        <c:axId val="997669087"/>
        <c:scaling>
          <c:orientation val="minMax"/>
        </c:scaling>
        <c:delete val="1"/>
        <c:axPos val="b"/>
        <c:majorTickMark val="none"/>
        <c:minorTickMark val="none"/>
        <c:tickLblPos val="nextTo"/>
        <c:crossAx val="997668607"/>
        <c:crosses val="autoZero"/>
        <c:auto val="1"/>
        <c:lblAlgn val="ctr"/>
        <c:lblOffset val="100"/>
        <c:noMultiLvlLbl val="0"/>
      </c:catAx>
      <c:valAx>
        <c:axId val="9976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Klaidų</a:t>
                </a:r>
                <a:r>
                  <a:rPr lang="lt-LT" baseline="0"/>
                  <a:t> vidurkis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97669087"/>
        <c:crosses val="autoZero"/>
        <c:crossBetween val="between"/>
      </c:valAx>
      <c:valAx>
        <c:axId val="18205509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Tikimybė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820544687"/>
        <c:crosses val="max"/>
        <c:crossBetween val="between"/>
      </c:valAx>
      <c:catAx>
        <c:axId val="1820544687"/>
        <c:scaling>
          <c:orientation val="minMax"/>
        </c:scaling>
        <c:delete val="1"/>
        <c:axPos val="b"/>
        <c:majorTickMark val="out"/>
        <c:minorTickMark val="none"/>
        <c:tickLblPos val="nextTo"/>
        <c:crossAx val="18205509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 priklausomybė nuo P</a:t>
            </a:r>
          </a:p>
        </c:rich>
      </c:tx>
      <c:layout>
        <c:manualLayout>
          <c:xMode val="edge"/>
          <c:yMode val="edge"/>
          <c:x val="0.3029930008748906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 Statistika'!$H$2</c:f>
              <c:strCache>
                <c:ptCount val="1"/>
                <c:pt idx="0">
                  <c:v>Laikas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 Statistika'!$H$3:$H$17</c:f>
              <c:numCache>
                <c:formatCode>General</c:formatCode>
                <c:ptCount val="15"/>
                <c:pt idx="0">
                  <c:v>0.05</c:v>
                </c:pt>
                <c:pt idx="1">
                  <c:v>0.4</c:v>
                </c:pt>
                <c:pt idx="2">
                  <c:v>0.8</c:v>
                </c:pt>
                <c:pt idx="3">
                  <c:v>1.23</c:v>
                </c:pt>
                <c:pt idx="4">
                  <c:v>1.74</c:v>
                </c:pt>
                <c:pt idx="5">
                  <c:v>2.31</c:v>
                </c:pt>
                <c:pt idx="6">
                  <c:v>2.72</c:v>
                </c:pt>
                <c:pt idx="7">
                  <c:v>3.29</c:v>
                </c:pt>
                <c:pt idx="8">
                  <c:v>3.75</c:v>
                </c:pt>
                <c:pt idx="9">
                  <c:v>4.05</c:v>
                </c:pt>
                <c:pt idx="10">
                  <c:v>4.38</c:v>
                </c:pt>
                <c:pt idx="11">
                  <c:v>4.3</c:v>
                </c:pt>
                <c:pt idx="12">
                  <c:v>3.65</c:v>
                </c:pt>
                <c:pt idx="13">
                  <c:v>3.83</c:v>
                </c:pt>
                <c:pt idx="14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D-42CC-9730-1AD89823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5327"/>
        <c:axId val="16486287"/>
      </c:lineChart>
      <c:lineChart>
        <c:grouping val="standard"/>
        <c:varyColors val="0"/>
        <c:ser>
          <c:idx val="0"/>
          <c:order val="0"/>
          <c:tx>
            <c:strRef>
              <c:f>'3 Statistika'!$C$2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 Statistika'!$C$3:$C$17</c:f>
              <c:numCache>
                <c:formatCode>General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3">
                  <c:v>0.9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D-42CC-9730-1AD89823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82783"/>
        <c:axId val="198884447"/>
      </c:lineChart>
      <c:catAx>
        <c:axId val="164853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6486287"/>
        <c:crosses val="autoZero"/>
        <c:auto val="1"/>
        <c:lblAlgn val="ctr"/>
        <c:lblOffset val="100"/>
        <c:noMultiLvlLbl val="0"/>
      </c:catAx>
      <c:valAx>
        <c:axId val="164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Laikas</a:t>
                </a:r>
                <a:r>
                  <a:rPr lang="lt-LT" baseline="0"/>
                  <a:t> sekundėmis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6485327"/>
        <c:crosses val="autoZero"/>
        <c:crossBetween val="between"/>
        <c:majorUnit val="0.5"/>
      </c:valAx>
      <c:valAx>
        <c:axId val="1988844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Tikimybė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0582783"/>
        <c:crosses val="max"/>
        <c:crossBetween val="between"/>
      </c:valAx>
      <c:catAx>
        <c:axId val="190582783"/>
        <c:scaling>
          <c:orientation val="minMax"/>
        </c:scaling>
        <c:delete val="1"/>
        <c:axPos val="b"/>
        <c:majorTickMark val="out"/>
        <c:minorTickMark val="none"/>
        <c:tickLblPos val="nextTo"/>
        <c:crossAx val="19888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Klaid</a:t>
            </a:r>
            <a:r>
              <a:rPr lang="lt-L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ų priklausomybė nuo 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'4 statistika'!$H$2</c:f>
              <c:strCache>
                <c:ptCount val="1"/>
                <c:pt idx="0">
                  <c:v>Klaidos be kodo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 statistika'!$H$3:$H$10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6-4B62-B2EF-569F4A99ABC0}"/>
            </c:ext>
          </c:extLst>
        </c:ser>
        <c:ser>
          <c:idx val="2"/>
          <c:order val="2"/>
          <c:tx>
            <c:strRef>
              <c:f>'4 statistika'!$I$2</c:f>
              <c:strCache>
                <c:ptCount val="1"/>
                <c:pt idx="0">
                  <c:v>Klaidos su kodu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 statistika'!$I$3:$I$10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6-4B62-B2EF-569F4A99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9151"/>
        <c:axId val="10659631"/>
      </c:lineChart>
      <c:lineChart>
        <c:grouping val="standard"/>
        <c:varyColors val="0"/>
        <c:ser>
          <c:idx val="0"/>
          <c:order val="0"/>
          <c:tx>
            <c:strRef>
              <c:f>'4 statistika'!$C$2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 statistika'!$C$3:$C$10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6-4B62-B2EF-569F4A99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607583"/>
        <c:axId val="292606623"/>
      </c:lineChart>
      <c:catAx>
        <c:axId val="10659151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majorTickMark val="none"/>
        <c:minorTickMark val="none"/>
        <c:tickLblPos val="nextTo"/>
        <c:crossAx val="10659631"/>
        <c:crosses val="autoZero"/>
        <c:auto val="1"/>
        <c:lblAlgn val="ctr"/>
        <c:lblOffset val="100"/>
        <c:noMultiLvlLbl val="0"/>
      </c:catAx>
      <c:valAx>
        <c:axId val="106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Klaidų skaičius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0659151"/>
        <c:crosses val="autoZero"/>
        <c:crossBetween val="between"/>
      </c:valAx>
      <c:valAx>
        <c:axId val="2926066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Tikimybė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292607583"/>
        <c:crosses val="max"/>
        <c:crossBetween val="between"/>
      </c:valAx>
      <c:catAx>
        <c:axId val="292607583"/>
        <c:scaling>
          <c:orientation val="minMax"/>
        </c:scaling>
        <c:delete val="1"/>
        <c:axPos val="b"/>
        <c:majorTickMark val="out"/>
        <c:minorTickMark val="none"/>
        <c:tickLblPos val="nextTo"/>
        <c:crossAx val="292606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8281</xdr:colOff>
      <xdr:row>10</xdr:row>
      <xdr:rowOff>189672</xdr:rowOff>
    </xdr:from>
    <xdr:to>
      <xdr:col>16</xdr:col>
      <xdr:colOff>8281</xdr:colOff>
      <xdr:row>25</xdr:row>
      <xdr:rowOff>16565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685668FD-7340-77C2-75C0-CE5EB9097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8281</xdr:colOff>
      <xdr:row>10</xdr:row>
      <xdr:rowOff>189672</xdr:rowOff>
    </xdr:from>
    <xdr:to>
      <xdr:col>16</xdr:col>
      <xdr:colOff>8281</xdr:colOff>
      <xdr:row>25</xdr:row>
      <xdr:rowOff>16565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884E1985-7FF2-40B5-B3D2-EC30E81F4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11946</xdr:colOff>
      <xdr:row>1</xdr:row>
      <xdr:rowOff>565894</xdr:rowOff>
    </xdr:from>
    <xdr:to>
      <xdr:col>16</xdr:col>
      <xdr:colOff>327004</xdr:colOff>
      <xdr:row>6</xdr:row>
      <xdr:rowOff>473575</xdr:rowOff>
    </xdr:to>
    <xdr:graphicFrame macro="">
      <xdr:nvGraphicFramePr>
        <xdr:cNvPr id="8" name="Diagrama 7">
          <a:extLst>
            <a:ext uri="{FF2B5EF4-FFF2-40B4-BE49-F238E27FC236}">
              <a16:creationId xmlns:a16="http://schemas.microsoft.com/office/drawing/2014/main" id="{245B6910-6E65-280E-E5D5-A195C6BC6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289891</xdr:colOff>
      <xdr:row>1</xdr:row>
      <xdr:rowOff>864704</xdr:rowOff>
    </xdr:from>
    <xdr:to>
      <xdr:col>16</xdr:col>
      <xdr:colOff>571500</xdr:colOff>
      <xdr:row>14</xdr:row>
      <xdr:rowOff>178904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1A3A248A-B707-92AB-43AB-53F93411C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</richValueRel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5DFA-5347-470B-9CCB-01F0344E0F2D}">
  <dimension ref="A1:K55"/>
  <sheetViews>
    <sheetView topLeftCell="A46" zoomScale="205" zoomScaleNormal="205" workbookViewId="0">
      <selection activeCell="J46" sqref="J46"/>
    </sheetView>
  </sheetViews>
  <sheetFormatPr defaultRowHeight="15" x14ac:dyDescent="0.25"/>
  <cols>
    <col min="1" max="1" width="3.7109375" customWidth="1"/>
    <col min="2" max="2" width="5" customWidth="1"/>
    <col min="3" max="3" width="4.85546875" customWidth="1"/>
    <col min="4" max="4" width="21.28515625" customWidth="1"/>
    <col min="5" max="5" width="21.28515625" hidden="1" customWidth="1"/>
    <col min="6" max="6" width="18.42578125" customWidth="1"/>
    <col min="7" max="7" width="19.5703125" customWidth="1"/>
    <col min="8" max="8" width="18.42578125" customWidth="1"/>
    <col min="9" max="9" width="20.7109375" customWidth="1"/>
    <col min="11" max="11" width="18.5703125" customWidth="1"/>
    <col min="13" max="13" width="18.5703125" customWidth="1"/>
    <col min="15" max="15" width="18.42578125" customWidth="1"/>
    <col min="19" max="19" width="18.28515625" customWidth="1"/>
    <col min="20" max="20" width="11.85546875" customWidth="1"/>
  </cols>
  <sheetData>
    <row r="1" spans="1:11" x14ac:dyDescent="0.25">
      <c r="A1" t="s">
        <v>0</v>
      </c>
    </row>
    <row r="2" spans="1:11" x14ac:dyDescent="0.25">
      <c r="A2" s="6" t="s">
        <v>1</v>
      </c>
      <c r="B2" s="6" t="s">
        <v>2</v>
      </c>
      <c r="C2" s="6" t="s">
        <v>3</v>
      </c>
      <c r="D2" s="6" t="s">
        <v>4</v>
      </c>
      <c r="E2" s="6"/>
      <c r="F2" s="6" t="s">
        <v>15</v>
      </c>
      <c r="G2" s="6" t="s">
        <v>5</v>
      </c>
      <c r="H2" s="7" t="s">
        <v>6</v>
      </c>
      <c r="I2" s="6" t="s">
        <v>7</v>
      </c>
    </row>
    <row r="3" spans="1:11" x14ac:dyDescent="0.25">
      <c r="A3" s="1">
        <v>1</v>
      </c>
      <c r="B3" s="1">
        <v>16</v>
      </c>
      <c r="C3" s="1">
        <v>0</v>
      </c>
      <c r="D3" s="11" t="s">
        <v>19</v>
      </c>
      <c r="E3" s="1"/>
      <c r="F3" s="11" t="s">
        <v>16</v>
      </c>
      <c r="G3" s="11" t="s">
        <v>14</v>
      </c>
      <c r="H3" s="5" t="s">
        <v>19</v>
      </c>
      <c r="I3" s="11" t="s">
        <v>16</v>
      </c>
    </row>
    <row r="4" spans="1:11" x14ac:dyDescent="0.25">
      <c r="A4" s="1">
        <v>1</v>
      </c>
      <c r="B4" s="1">
        <v>16</v>
      </c>
      <c r="C4" s="1">
        <v>0</v>
      </c>
      <c r="D4" s="11" t="s">
        <v>19</v>
      </c>
      <c r="E4" s="1"/>
      <c r="F4" s="11" t="s">
        <v>17</v>
      </c>
      <c r="G4" s="11" t="s">
        <v>18</v>
      </c>
      <c r="H4" s="5" t="s">
        <v>22</v>
      </c>
      <c r="I4" s="11" t="s">
        <v>17</v>
      </c>
    </row>
    <row r="5" spans="1:11" x14ac:dyDescent="0.25">
      <c r="A5" s="1">
        <v>1</v>
      </c>
      <c r="B5" s="1">
        <v>16</v>
      </c>
      <c r="C5" s="1">
        <v>0.1</v>
      </c>
      <c r="D5" s="11" t="s">
        <v>19</v>
      </c>
      <c r="E5" s="1"/>
      <c r="F5" s="11" t="s">
        <v>16</v>
      </c>
      <c r="G5" s="11" t="s">
        <v>14</v>
      </c>
      <c r="H5" s="4" t="s">
        <v>20</v>
      </c>
      <c r="I5" s="11" t="s">
        <v>16</v>
      </c>
    </row>
    <row r="6" spans="1:11" x14ac:dyDescent="0.25">
      <c r="A6" s="1">
        <v>1</v>
      </c>
      <c r="B6" s="1">
        <v>16</v>
      </c>
      <c r="C6" s="1">
        <v>0.1</v>
      </c>
      <c r="D6" s="11" t="s">
        <v>19</v>
      </c>
      <c r="E6" s="1"/>
      <c r="F6" s="11" t="s">
        <v>17</v>
      </c>
      <c r="G6" s="11" t="s">
        <v>18</v>
      </c>
      <c r="H6" s="5" t="s">
        <v>21</v>
      </c>
      <c r="I6" s="11" t="s">
        <v>17</v>
      </c>
    </row>
    <row r="7" spans="1:11" x14ac:dyDescent="0.25">
      <c r="A7" s="1">
        <v>1</v>
      </c>
      <c r="B7" s="1">
        <v>16</v>
      </c>
      <c r="C7" s="1" t="s">
        <v>31</v>
      </c>
      <c r="D7" s="11" t="s">
        <v>19</v>
      </c>
      <c r="E7" s="1"/>
      <c r="F7" s="11" t="s">
        <v>16</v>
      </c>
      <c r="G7" s="11" t="s">
        <v>18</v>
      </c>
      <c r="H7" s="5" t="s">
        <v>23</v>
      </c>
      <c r="I7" s="11" t="s">
        <v>17</v>
      </c>
    </row>
    <row r="8" spans="1:11" x14ac:dyDescent="0.25">
      <c r="A8" s="1">
        <v>1</v>
      </c>
      <c r="B8" s="1">
        <v>16</v>
      </c>
      <c r="C8" s="1" t="s">
        <v>31</v>
      </c>
      <c r="D8" s="11" t="s">
        <v>19</v>
      </c>
      <c r="E8" s="1"/>
      <c r="F8" s="11" t="s">
        <v>17</v>
      </c>
      <c r="G8" s="11" t="s">
        <v>18</v>
      </c>
      <c r="H8" s="5" t="s">
        <v>24</v>
      </c>
      <c r="I8" s="11" t="s">
        <v>16</v>
      </c>
    </row>
    <row r="9" spans="1:11" x14ac:dyDescent="0.25">
      <c r="A9" s="1">
        <v>1</v>
      </c>
      <c r="B9" s="1">
        <v>16</v>
      </c>
      <c r="C9" s="1">
        <v>0</v>
      </c>
      <c r="D9" s="11" t="s">
        <v>30</v>
      </c>
      <c r="E9" s="1"/>
      <c r="F9" s="11" t="s">
        <v>16</v>
      </c>
      <c r="G9" s="11" t="s">
        <v>30</v>
      </c>
      <c r="H9" s="5" t="s">
        <v>30</v>
      </c>
      <c r="I9" s="11" t="s">
        <v>16</v>
      </c>
    </row>
    <row r="10" spans="1:11" x14ac:dyDescent="0.25">
      <c r="A10" s="1">
        <v>1</v>
      </c>
      <c r="B10" s="1">
        <v>16</v>
      </c>
      <c r="C10" s="1">
        <v>0</v>
      </c>
      <c r="D10" s="11" t="s">
        <v>30</v>
      </c>
      <c r="E10" s="1"/>
      <c r="F10" s="11" t="s">
        <v>17</v>
      </c>
      <c r="G10" s="11" t="s">
        <v>22</v>
      </c>
      <c r="H10" s="5" t="s">
        <v>22</v>
      </c>
      <c r="I10" s="11" t="s">
        <v>17</v>
      </c>
    </row>
    <row r="11" spans="1:11" x14ac:dyDescent="0.25">
      <c r="A11" s="18">
        <v>1</v>
      </c>
      <c r="B11" s="1">
        <v>16</v>
      </c>
      <c r="C11" s="1">
        <v>0.1</v>
      </c>
      <c r="D11" s="11" t="s">
        <v>30</v>
      </c>
      <c r="E11" s="1"/>
      <c r="F11" s="11" t="s">
        <v>16</v>
      </c>
      <c r="G11" s="11" t="s">
        <v>30</v>
      </c>
      <c r="H11" s="5" t="s">
        <v>32</v>
      </c>
      <c r="I11" s="11" t="s">
        <v>16</v>
      </c>
      <c r="K11" s="14"/>
    </row>
    <row r="12" spans="1:11" x14ac:dyDescent="0.25">
      <c r="A12" s="1">
        <v>1</v>
      </c>
      <c r="B12" s="19">
        <v>16</v>
      </c>
      <c r="C12" s="1">
        <v>0.1</v>
      </c>
      <c r="D12" s="11" t="s">
        <v>30</v>
      </c>
      <c r="E12" s="1"/>
      <c r="F12" s="11" t="s">
        <v>17</v>
      </c>
      <c r="G12" s="11" t="s">
        <v>18</v>
      </c>
      <c r="H12" s="5" t="s">
        <v>33</v>
      </c>
      <c r="I12" s="11" t="s">
        <v>17</v>
      </c>
    </row>
    <row r="13" spans="1:11" x14ac:dyDescent="0.25">
      <c r="A13" s="1">
        <v>4</v>
      </c>
      <c r="B13" s="1">
        <v>16</v>
      </c>
      <c r="C13" s="1">
        <v>0</v>
      </c>
      <c r="D13" s="11" t="s">
        <v>41</v>
      </c>
      <c r="E13" s="1"/>
      <c r="F13" s="11" t="s">
        <v>42</v>
      </c>
      <c r="G13" s="11" t="s">
        <v>22</v>
      </c>
      <c r="H13" s="5" t="s">
        <v>22</v>
      </c>
      <c r="I13" s="11" t="s">
        <v>42</v>
      </c>
    </row>
    <row r="14" spans="1:11" x14ac:dyDescent="0.25">
      <c r="A14" s="1">
        <v>4</v>
      </c>
      <c r="B14" s="1">
        <v>16</v>
      </c>
      <c r="C14" s="1">
        <v>0</v>
      </c>
      <c r="D14" s="11" t="s">
        <v>41</v>
      </c>
      <c r="E14" s="1"/>
      <c r="F14" s="11" t="s">
        <v>44</v>
      </c>
      <c r="G14" s="11" t="s">
        <v>43</v>
      </c>
      <c r="H14" s="5" t="s">
        <v>43</v>
      </c>
      <c r="I14" s="11" t="s">
        <v>44</v>
      </c>
    </row>
    <row r="15" spans="1:11" x14ac:dyDescent="0.25">
      <c r="A15" s="1">
        <v>4</v>
      </c>
      <c r="B15" s="1">
        <v>16</v>
      </c>
      <c r="C15" s="1">
        <v>0</v>
      </c>
      <c r="D15" s="11" t="s">
        <v>41</v>
      </c>
      <c r="E15" s="1"/>
      <c r="F15" s="11" t="s">
        <v>42</v>
      </c>
      <c r="G15" s="11" t="s">
        <v>22</v>
      </c>
      <c r="H15" s="5" t="s">
        <v>45</v>
      </c>
      <c r="I15" s="11" t="s">
        <v>46</v>
      </c>
    </row>
    <row r="16" spans="1:11" x14ac:dyDescent="0.25">
      <c r="A16" s="1">
        <v>4</v>
      </c>
      <c r="B16" s="1">
        <v>16</v>
      </c>
      <c r="C16" s="1">
        <v>0</v>
      </c>
      <c r="D16" s="11" t="s">
        <v>41</v>
      </c>
      <c r="E16" s="1"/>
      <c r="F16" s="11" t="s">
        <v>44</v>
      </c>
      <c r="G16" s="11" t="s">
        <v>43</v>
      </c>
      <c r="H16" s="5" t="s">
        <v>47</v>
      </c>
      <c r="I16" s="11" t="s">
        <v>48</v>
      </c>
    </row>
    <row r="17" spans="1:9" x14ac:dyDescent="0.25">
      <c r="A17" s="45" t="s">
        <v>49</v>
      </c>
      <c r="B17" s="45"/>
      <c r="C17" s="45"/>
      <c r="D17" s="45"/>
      <c r="E17" s="45"/>
      <c r="F17" s="45"/>
      <c r="G17" s="45"/>
      <c r="H17" s="45"/>
      <c r="I17" s="45"/>
    </row>
    <row r="18" spans="1:9" x14ac:dyDescent="0.25">
      <c r="A18" s="46"/>
      <c r="B18" s="46"/>
      <c r="C18" s="46"/>
      <c r="D18" s="46"/>
      <c r="E18" s="46"/>
      <c r="F18" s="46"/>
      <c r="G18" s="46"/>
      <c r="H18" s="46"/>
      <c r="I18" s="46"/>
    </row>
    <row r="19" spans="1:9" x14ac:dyDescent="0.25">
      <c r="D19" s="12"/>
      <c r="F19" s="12"/>
      <c r="G19" s="12"/>
      <c r="H19" s="13"/>
      <c r="I19" s="12"/>
    </row>
    <row r="20" spans="1:9" x14ac:dyDescent="0.25">
      <c r="A20" t="s">
        <v>8</v>
      </c>
    </row>
    <row r="21" spans="1:9" x14ac:dyDescent="0.25">
      <c r="A21" s="8" t="s">
        <v>1</v>
      </c>
      <c r="B21" s="8" t="s">
        <v>2</v>
      </c>
      <c r="C21" s="8" t="s">
        <v>3</v>
      </c>
      <c r="D21" s="8" t="s">
        <v>4</v>
      </c>
      <c r="E21" s="8"/>
      <c r="F21" s="8" t="s">
        <v>9</v>
      </c>
      <c r="G21" s="8" t="s">
        <v>10</v>
      </c>
      <c r="H21" s="8" t="s">
        <v>11</v>
      </c>
    </row>
    <row r="22" spans="1:9" ht="53.25" customHeight="1" x14ac:dyDescent="0.25">
      <c r="A22" s="1">
        <v>1</v>
      </c>
      <c r="B22" s="1">
        <v>16</v>
      </c>
      <c r="C22" s="1">
        <v>0</v>
      </c>
      <c r="D22" s="11" t="s">
        <v>19</v>
      </c>
      <c r="E22" s="1"/>
      <c r="F22" s="2" t="s">
        <v>25</v>
      </c>
      <c r="G22" s="2" t="s">
        <v>25</v>
      </c>
      <c r="H22" s="2" t="s">
        <v>25</v>
      </c>
    </row>
    <row r="23" spans="1:9" ht="72.75" customHeight="1" x14ac:dyDescent="0.25">
      <c r="A23" s="1">
        <v>1</v>
      </c>
      <c r="B23" s="1">
        <v>16</v>
      </c>
      <c r="C23" s="1">
        <v>0.1</v>
      </c>
      <c r="D23" s="11" t="s">
        <v>19</v>
      </c>
      <c r="E23" s="1"/>
      <c r="F23" s="2" t="s">
        <v>25</v>
      </c>
      <c r="G23" s="3" t="s">
        <v>26</v>
      </c>
      <c r="H23" s="3" t="s">
        <v>26</v>
      </c>
      <c r="I23" s="17" t="s">
        <v>74</v>
      </c>
    </row>
    <row r="24" spans="1:9" x14ac:dyDescent="0.25">
      <c r="A24" s="1">
        <v>1</v>
      </c>
      <c r="B24" s="1">
        <v>16</v>
      </c>
      <c r="C24" s="1">
        <v>0.1</v>
      </c>
      <c r="D24" s="11" t="s">
        <v>19</v>
      </c>
      <c r="E24" s="1"/>
      <c r="F24" s="2" t="s">
        <v>27</v>
      </c>
      <c r="G24" s="3" t="s">
        <v>28</v>
      </c>
      <c r="H24" s="3" t="s">
        <v>28</v>
      </c>
    </row>
    <row r="25" spans="1:9" x14ac:dyDescent="0.25">
      <c r="A25" s="1">
        <v>1</v>
      </c>
      <c r="B25" s="1">
        <v>16</v>
      </c>
      <c r="C25" s="1">
        <v>0</v>
      </c>
      <c r="D25" s="11" t="s">
        <v>30</v>
      </c>
      <c r="E25" s="1"/>
      <c r="F25" s="2" t="s">
        <v>25</v>
      </c>
      <c r="G25" s="3" t="s">
        <v>25</v>
      </c>
      <c r="H25" s="3" t="s">
        <v>25</v>
      </c>
    </row>
    <row r="26" spans="1:9" x14ac:dyDescent="0.25">
      <c r="A26" s="1">
        <v>1</v>
      </c>
      <c r="B26" s="1">
        <v>16</v>
      </c>
      <c r="C26" s="1">
        <v>0.1</v>
      </c>
      <c r="D26" s="11" t="s">
        <v>30</v>
      </c>
      <c r="E26" s="1"/>
      <c r="F26" s="2" t="s">
        <v>25</v>
      </c>
      <c r="G26" s="3" t="s">
        <v>25</v>
      </c>
      <c r="H26" s="3" t="s">
        <v>34</v>
      </c>
    </row>
    <row r="27" spans="1:9" x14ac:dyDescent="0.25">
      <c r="A27" s="1">
        <v>1</v>
      </c>
      <c r="B27" s="1">
        <v>16</v>
      </c>
      <c r="C27" s="1">
        <v>0.1</v>
      </c>
      <c r="D27" s="11" t="s">
        <v>30</v>
      </c>
      <c r="E27" s="1"/>
      <c r="F27" s="2" t="s">
        <v>27</v>
      </c>
      <c r="G27" s="2" t="s">
        <v>27</v>
      </c>
      <c r="H27" s="2" t="s">
        <v>35</v>
      </c>
    </row>
    <row r="28" spans="1:9" hidden="1" x14ac:dyDescent="0.25">
      <c r="D28" s="12"/>
      <c r="F28" s="15"/>
      <c r="G28" s="16"/>
      <c r="H28" s="16"/>
    </row>
    <row r="29" spans="1:9" hidden="1" x14ac:dyDescent="0.25">
      <c r="D29" s="12"/>
      <c r="F29" s="15"/>
      <c r="G29" s="16"/>
      <c r="H29" s="16"/>
    </row>
    <row r="31" spans="1:9" x14ac:dyDescent="0.25">
      <c r="A31" t="s">
        <v>12</v>
      </c>
    </row>
    <row r="32" spans="1:9" x14ac:dyDescent="0.25">
      <c r="A32" s="9" t="s">
        <v>1</v>
      </c>
      <c r="B32" s="9" t="s">
        <v>2</v>
      </c>
      <c r="C32" s="9" t="s">
        <v>3</v>
      </c>
      <c r="D32" s="9" t="s">
        <v>4</v>
      </c>
      <c r="E32" s="10"/>
      <c r="F32" s="9" t="s">
        <v>9</v>
      </c>
      <c r="G32" s="9" t="s">
        <v>10</v>
      </c>
      <c r="H32" s="9" t="s">
        <v>11</v>
      </c>
      <c r="I32" s="9" t="s">
        <v>13</v>
      </c>
    </row>
    <row r="33" spans="1:9" ht="96" customHeight="1" x14ac:dyDescent="0.25">
      <c r="A33" s="1">
        <v>1</v>
      </c>
      <c r="B33" s="1">
        <v>16</v>
      </c>
      <c r="C33" s="1">
        <v>0</v>
      </c>
      <c r="D33" s="11" t="s">
        <v>19</v>
      </c>
      <c r="E33" s="1"/>
      <c r="F33" s="1" t="e" vm="1">
        <v>#VALUE!</v>
      </c>
      <c r="G33" s="1" t="e" vm="2">
        <v>#VALUE!</v>
      </c>
      <c r="H33" s="1" t="e" vm="2">
        <v>#VALUE!</v>
      </c>
      <c r="I33" s="1" t="s">
        <v>29</v>
      </c>
    </row>
    <row r="34" spans="1:9" ht="96" customHeight="1" x14ac:dyDescent="0.25">
      <c r="A34" s="1">
        <v>1</v>
      </c>
      <c r="B34" s="1">
        <v>16</v>
      </c>
      <c r="C34" s="1">
        <v>0.1</v>
      </c>
      <c r="D34" s="11" t="s">
        <v>19</v>
      </c>
      <c r="E34" s="1"/>
      <c r="F34" s="1" t="e" vm="1">
        <v>#VALUE!</v>
      </c>
      <c r="G34" s="1" t="e" vm="3">
        <v>#VALUE!</v>
      </c>
      <c r="H34" s="1" t="e" vm="3">
        <v>#VALUE!</v>
      </c>
      <c r="I34" s="1" t="s">
        <v>53</v>
      </c>
    </row>
    <row r="35" spans="1:9" ht="96" customHeight="1" x14ac:dyDescent="0.25">
      <c r="A35" s="1">
        <v>1</v>
      </c>
      <c r="B35" s="1">
        <v>16</v>
      </c>
      <c r="C35" s="1">
        <v>0.1</v>
      </c>
      <c r="D35" s="11" t="s">
        <v>30</v>
      </c>
      <c r="E35" s="1"/>
      <c r="F35" s="1" t="e" vm="1">
        <v>#VALUE!</v>
      </c>
      <c r="G35" s="1" t="e" vm="4">
        <v>#VALUE!</v>
      </c>
      <c r="H35" s="1" t="e" vm="5">
        <v>#VALUE!</v>
      </c>
      <c r="I35" s="1" t="s">
        <v>36</v>
      </c>
    </row>
    <row r="36" spans="1:9" ht="96.75" customHeight="1" x14ac:dyDescent="0.25">
      <c r="A36" s="1">
        <v>1</v>
      </c>
      <c r="B36" s="1">
        <v>16</v>
      </c>
      <c r="C36" s="1">
        <v>0.2</v>
      </c>
      <c r="D36" s="11" t="s">
        <v>30</v>
      </c>
      <c r="E36" s="1"/>
      <c r="F36" s="1" t="e" vm="1">
        <v>#VALUE!</v>
      </c>
      <c r="G36" s="1" t="e" vm="6">
        <v>#VALUE!</v>
      </c>
      <c r="H36" s="1" t="e" vm="7">
        <v>#VALUE!</v>
      </c>
      <c r="I36" s="1" t="s">
        <v>38</v>
      </c>
    </row>
    <row r="37" spans="1:9" ht="96" customHeight="1" x14ac:dyDescent="0.25">
      <c r="A37" s="1">
        <v>1</v>
      </c>
      <c r="B37" s="1">
        <v>10</v>
      </c>
      <c r="C37" s="1">
        <v>0.2</v>
      </c>
      <c r="D37" s="1">
        <v>1011000110</v>
      </c>
      <c r="E37" s="1"/>
      <c r="F37" s="1" t="e" vm="1">
        <v>#VALUE!</v>
      </c>
      <c r="G37" s="1" t="e" vm="8">
        <v>#VALUE!</v>
      </c>
      <c r="H37" s="1" t="e" vm="9">
        <v>#VALUE!</v>
      </c>
      <c r="I37" s="1" t="s">
        <v>39</v>
      </c>
    </row>
    <row r="38" spans="1:9" ht="96.75" customHeight="1" x14ac:dyDescent="0.25">
      <c r="A38" s="1">
        <v>1</v>
      </c>
      <c r="B38" s="1">
        <v>10</v>
      </c>
      <c r="C38" s="1">
        <v>0.5</v>
      </c>
      <c r="D38" s="1">
        <v>1011000110</v>
      </c>
      <c r="E38" s="1"/>
      <c r="F38" s="1" t="e" vm="1">
        <v>#VALUE!</v>
      </c>
      <c r="G38" s="1" t="e" vm="10">
        <v>#VALUE!</v>
      </c>
      <c r="H38" s="1" t="e" vm="11">
        <v>#VALUE!</v>
      </c>
      <c r="I38" s="1" t="s">
        <v>40</v>
      </c>
    </row>
    <row r="39" spans="1:9" ht="6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</row>
    <row r="40" spans="1:9" ht="30.75" customHeight="1" x14ac:dyDescent="0.25">
      <c r="A40" s="47" t="s">
        <v>50</v>
      </c>
      <c r="B40" s="48"/>
      <c r="C40" s="48"/>
      <c r="D40" s="48"/>
      <c r="E40" s="48"/>
      <c r="F40" s="48"/>
      <c r="G40" s="48"/>
      <c r="H40" s="48"/>
      <c r="I40" s="49"/>
    </row>
    <row r="41" spans="1:9" ht="120.75" customHeight="1" x14ac:dyDescent="0.25">
      <c r="A41" s="21"/>
      <c r="B41" s="22"/>
      <c r="C41" s="22"/>
      <c r="D41" s="24" t="e" vm="12">
        <v>#VALUE!</v>
      </c>
      <c r="E41" s="22"/>
      <c r="F41" s="22"/>
      <c r="G41" s="22"/>
      <c r="H41" s="22"/>
      <c r="I41" s="23"/>
    </row>
    <row r="42" spans="1:9" ht="8.25" customHeight="1" x14ac:dyDescent="0.25"/>
    <row r="43" spans="1:9" x14ac:dyDescent="0.25">
      <c r="A43" s="25" t="s">
        <v>51</v>
      </c>
      <c r="B43" s="20"/>
      <c r="C43" s="20"/>
      <c r="D43" s="20"/>
      <c r="E43" s="20"/>
      <c r="F43" s="20"/>
      <c r="G43" s="20"/>
      <c r="H43" s="20"/>
      <c r="I43" s="26"/>
    </row>
    <row r="44" spans="1:9" ht="144" customHeight="1" x14ac:dyDescent="0.25">
      <c r="A44" s="51" t="s">
        <v>37</v>
      </c>
      <c r="B44" s="52"/>
      <c r="C44" s="52"/>
      <c r="D44" s="27" t="e" vm="13">
        <v>#VALUE!</v>
      </c>
      <c r="I44" s="28"/>
    </row>
    <row r="45" spans="1:9" ht="132" customHeight="1" x14ac:dyDescent="0.25">
      <c r="A45" s="53" t="s">
        <v>52</v>
      </c>
      <c r="B45" s="54"/>
      <c r="C45" s="54"/>
      <c r="D45" s="27" t="e" vm="14">
        <v>#VALUE!</v>
      </c>
      <c r="I45" s="28"/>
    </row>
    <row r="46" spans="1:9" ht="166.5" customHeight="1" x14ac:dyDescent="0.25">
      <c r="A46" s="51" t="s">
        <v>75</v>
      </c>
      <c r="B46" s="52"/>
      <c r="C46" s="52"/>
      <c r="D46" s="27" t="e" vm="15">
        <v>#VALUE!</v>
      </c>
      <c r="F46" s="17" t="s">
        <v>76</v>
      </c>
      <c r="I46" s="28"/>
    </row>
    <row r="47" spans="1:9" ht="126" customHeight="1" x14ac:dyDescent="0.25">
      <c r="A47" s="55" t="s">
        <v>77</v>
      </c>
      <c r="B47" s="56"/>
      <c r="C47" s="56"/>
      <c r="D47" s="24" t="e" vm="16">
        <v>#VALUE!</v>
      </c>
      <c r="E47" s="22"/>
      <c r="F47" s="22"/>
      <c r="G47" s="22"/>
      <c r="H47" s="22"/>
      <c r="I47" s="23"/>
    </row>
    <row r="55" spans="2:4" x14ac:dyDescent="0.25">
      <c r="B55" s="50"/>
      <c r="C55" s="50"/>
      <c r="D55" s="50"/>
    </row>
  </sheetData>
  <mergeCells count="7">
    <mergeCell ref="A17:I18"/>
    <mergeCell ref="A40:I40"/>
    <mergeCell ref="B55:D55"/>
    <mergeCell ref="A44:C44"/>
    <mergeCell ref="A45:C45"/>
    <mergeCell ref="A47:C47"/>
    <mergeCell ref="A46:C46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791C-D07E-4BE8-A179-A677A07EC468}">
  <dimension ref="A1:K244"/>
  <sheetViews>
    <sheetView topLeftCell="A4" zoomScale="115" zoomScaleNormal="115" workbookViewId="0">
      <selection activeCell="H15" sqref="H15"/>
    </sheetView>
  </sheetViews>
  <sheetFormatPr defaultRowHeight="15" x14ac:dyDescent="0.25"/>
  <cols>
    <col min="4" max="4" width="20.42578125" customWidth="1"/>
    <col min="5" max="6" width="20.85546875" customWidth="1"/>
    <col min="11" max="11" width="15.28515625" customWidth="1"/>
  </cols>
  <sheetData>
    <row r="1" spans="1:11" x14ac:dyDescent="0.25">
      <c r="A1" t="s">
        <v>54</v>
      </c>
      <c r="J1" t="s">
        <v>59</v>
      </c>
    </row>
    <row r="2" spans="1:11" x14ac:dyDescent="0.25">
      <c r="A2" s="29" t="s">
        <v>1</v>
      </c>
      <c r="B2" s="29" t="s">
        <v>2</v>
      </c>
      <c r="C2" s="29" t="s">
        <v>56</v>
      </c>
      <c r="D2" s="30" t="s">
        <v>4</v>
      </c>
      <c r="E2" s="29" t="s">
        <v>55</v>
      </c>
      <c r="F2" s="29" t="s">
        <v>57</v>
      </c>
      <c r="G2" s="34" t="s">
        <v>58</v>
      </c>
      <c r="J2" s="1" t="s">
        <v>56</v>
      </c>
      <c r="K2" s="1" t="s">
        <v>60</v>
      </c>
    </row>
    <row r="3" spans="1:11" x14ac:dyDescent="0.25">
      <c r="A3" s="6">
        <v>1</v>
      </c>
      <c r="B3" s="6">
        <v>16</v>
      </c>
      <c r="C3" s="6">
        <v>0</v>
      </c>
      <c r="D3" s="31" t="s">
        <v>19</v>
      </c>
      <c r="E3" s="6">
        <v>0</v>
      </c>
      <c r="F3" s="6">
        <v>0</v>
      </c>
      <c r="G3" s="34">
        <f>COUNTIF(F3,1)</f>
        <v>0</v>
      </c>
      <c r="J3" s="1">
        <v>0</v>
      </c>
      <c r="K3" s="1">
        <f>AVERAGE(G3:G24)</f>
        <v>0</v>
      </c>
    </row>
    <row r="4" spans="1:11" x14ac:dyDescent="0.25">
      <c r="A4" s="6">
        <v>1</v>
      </c>
      <c r="B4" s="6">
        <v>16</v>
      </c>
      <c r="C4" s="6">
        <v>0</v>
      </c>
      <c r="D4" s="31" t="s">
        <v>19</v>
      </c>
      <c r="E4" s="6">
        <v>0</v>
      </c>
      <c r="F4" s="6">
        <v>0</v>
      </c>
      <c r="G4" s="34">
        <f t="shared" ref="G4:G13" si="0">COUNTIF(F4,1)</f>
        <v>0</v>
      </c>
      <c r="J4" s="1">
        <v>0.1</v>
      </c>
      <c r="K4" s="1">
        <f>AVERAGE(G25:G46)</f>
        <v>9.0909090909090912E-2</v>
      </c>
    </row>
    <row r="5" spans="1:11" x14ac:dyDescent="0.25">
      <c r="A5" s="6">
        <v>1</v>
      </c>
      <c r="B5" s="6">
        <v>16</v>
      </c>
      <c r="C5" s="6">
        <v>0</v>
      </c>
      <c r="D5" s="31" t="s">
        <v>19</v>
      </c>
      <c r="E5" s="6">
        <v>0</v>
      </c>
      <c r="F5" s="6">
        <v>0</v>
      </c>
      <c r="G5" s="34">
        <f t="shared" si="0"/>
        <v>0</v>
      </c>
      <c r="J5" s="1">
        <v>0.2</v>
      </c>
      <c r="K5" s="1">
        <f>AVERAGE(G47:G68)</f>
        <v>0.22727272727272727</v>
      </c>
    </row>
    <row r="6" spans="1:11" x14ac:dyDescent="0.25">
      <c r="A6" s="6">
        <v>1</v>
      </c>
      <c r="B6" s="6">
        <v>16</v>
      </c>
      <c r="C6" s="6">
        <v>0</v>
      </c>
      <c r="D6" s="31" t="s">
        <v>19</v>
      </c>
      <c r="E6" s="6">
        <v>0</v>
      </c>
      <c r="F6" s="6">
        <v>0</v>
      </c>
      <c r="G6" s="34">
        <f t="shared" si="0"/>
        <v>0</v>
      </c>
      <c r="J6" s="1">
        <v>0.3</v>
      </c>
      <c r="K6" s="1">
        <f>AVERAGE(G69:G90)</f>
        <v>0.27272727272727271</v>
      </c>
    </row>
    <row r="7" spans="1:11" x14ac:dyDescent="0.25">
      <c r="A7" s="6">
        <v>1</v>
      </c>
      <c r="B7" s="6">
        <v>16</v>
      </c>
      <c r="C7" s="6">
        <v>0</v>
      </c>
      <c r="D7" s="31" t="s">
        <v>19</v>
      </c>
      <c r="E7" s="6">
        <v>0</v>
      </c>
      <c r="F7" s="6">
        <v>0</v>
      </c>
      <c r="G7" s="34">
        <f t="shared" si="0"/>
        <v>0</v>
      </c>
      <c r="J7" s="1">
        <v>0.4</v>
      </c>
      <c r="K7" s="1">
        <f>AVERAGE(G91:G112)</f>
        <v>0.31818181818181818</v>
      </c>
    </row>
    <row r="8" spans="1:11" x14ac:dyDescent="0.25">
      <c r="A8" s="6">
        <v>1</v>
      </c>
      <c r="B8" s="6">
        <v>16</v>
      </c>
      <c r="C8" s="6">
        <v>0</v>
      </c>
      <c r="D8" s="31" t="s">
        <v>19</v>
      </c>
      <c r="E8" s="6">
        <v>0</v>
      </c>
      <c r="F8" s="6">
        <v>0</v>
      </c>
      <c r="G8" s="34">
        <f t="shared" si="0"/>
        <v>0</v>
      </c>
      <c r="J8" s="1">
        <v>0.5</v>
      </c>
      <c r="K8" s="1">
        <f>AVERAGE(G113:G134)</f>
        <v>0.59090909090909094</v>
      </c>
    </row>
    <row r="9" spans="1:11" x14ac:dyDescent="0.25">
      <c r="A9" s="6">
        <v>1</v>
      </c>
      <c r="B9" s="6">
        <v>16</v>
      </c>
      <c r="C9" s="6">
        <v>0</v>
      </c>
      <c r="D9" s="31" t="s">
        <v>19</v>
      </c>
      <c r="E9" s="6">
        <v>0</v>
      </c>
      <c r="F9" s="6">
        <v>0</v>
      </c>
      <c r="G9" s="34">
        <f t="shared" si="0"/>
        <v>0</v>
      </c>
    </row>
    <row r="10" spans="1:11" x14ac:dyDescent="0.25">
      <c r="A10" s="6">
        <v>1</v>
      </c>
      <c r="B10" s="6">
        <v>16</v>
      </c>
      <c r="C10" s="6">
        <v>0</v>
      </c>
      <c r="D10" s="31" t="s">
        <v>19</v>
      </c>
      <c r="E10" s="6">
        <v>0</v>
      </c>
      <c r="F10" s="6">
        <v>0</v>
      </c>
      <c r="G10" s="34">
        <f t="shared" si="0"/>
        <v>0</v>
      </c>
    </row>
    <row r="11" spans="1:11" x14ac:dyDescent="0.25">
      <c r="A11" s="6">
        <v>1</v>
      </c>
      <c r="B11" s="6">
        <v>16</v>
      </c>
      <c r="C11" s="6">
        <v>0</v>
      </c>
      <c r="D11" s="31" t="s">
        <v>19</v>
      </c>
      <c r="E11" s="6">
        <v>0</v>
      </c>
      <c r="F11" s="6">
        <v>0</v>
      </c>
      <c r="G11" s="34">
        <f t="shared" si="0"/>
        <v>0</v>
      </c>
    </row>
    <row r="12" spans="1:11" x14ac:dyDescent="0.25">
      <c r="A12" s="6">
        <v>1</v>
      </c>
      <c r="B12" s="6">
        <v>16</v>
      </c>
      <c r="C12" s="6">
        <v>0</v>
      </c>
      <c r="D12" s="31" t="s">
        <v>19</v>
      </c>
      <c r="E12" s="6">
        <v>0</v>
      </c>
      <c r="F12" s="6">
        <v>0</v>
      </c>
      <c r="G12" s="34">
        <f t="shared" si="0"/>
        <v>0</v>
      </c>
    </row>
    <row r="13" spans="1:11" x14ac:dyDescent="0.25">
      <c r="A13" s="6">
        <v>1</v>
      </c>
      <c r="B13" s="6">
        <v>16</v>
      </c>
      <c r="C13" s="6">
        <v>0</v>
      </c>
      <c r="D13" s="31" t="s">
        <v>19</v>
      </c>
      <c r="E13" s="6">
        <v>0</v>
      </c>
      <c r="F13" s="6">
        <v>0</v>
      </c>
      <c r="G13" s="34">
        <f t="shared" si="0"/>
        <v>0</v>
      </c>
    </row>
    <row r="14" spans="1:11" x14ac:dyDescent="0.25">
      <c r="A14" s="32">
        <v>1</v>
      </c>
      <c r="B14" s="32">
        <v>16</v>
      </c>
      <c r="C14" s="32">
        <v>0</v>
      </c>
      <c r="D14" s="33" t="s">
        <v>19</v>
      </c>
      <c r="E14" s="32">
        <v>1</v>
      </c>
      <c r="F14" s="32">
        <v>1</v>
      </c>
      <c r="G14" s="34">
        <f>COUNTIF(F14,0)</f>
        <v>0</v>
      </c>
    </row>
    <row r="15" spans="1:11" x14ac:dyDescent="0.25">
      <c r="A15" s="32">
        <v>1</v>
      </c>
      <c r="B15" s="32">
        <v>16</v>
      </c>
      <c r="C15" s="32">
        <v>0</v>
      </c>
      <c r="D15" s="33" t="s">
        <v>19</v>
      </c>
      <c r="E15" s="32">
        <v>1</v>
      </c>
      <c r="F15" s="32">
        <v>1</v>
      </c>
      <c r="G15" s="34">
        <f t="shared" ref="G15:G24" si="1">COUNTIF(F15,0)</f>
        <v>0</v>
      </c>
    </row>
    <row r="16" spans="1:11" x14ac:dyDescent="0.25">
      <c r="A16" s="32">
        <v>1</v>
      </c>
      <c r="B16" s="32">
        <v>16</v>
      </c>
      <c r="C16" s="32">
        <v>0</v>
      </c>
      <c r="D16" s="33" t="s">
        <v>19</v>
      </c>
      <c r="E16" s="32">
        <v>1</v>
      </c>
      <c r="F16" s="32">
        <v>1</v>
      </c>
      <c r="G16" s="34">
        <f t="shared" si="1"/>
        <v>0</v>
      </c>
    </row>
    <row r="17" spans="1:7" x14ac:dyDescent="0.25">
      <c r="A17" s="32">
        <v>1</v>
      </c>
      <c r="B17" s="32">
        <v>16</v>
      </c>
      <c r="C17" s="32">
        <v>0</v>
      </c>
      <c r="D17" s="33" t="s">
        <v>19</v>
      </c>
      <c r="E17" s="32">
        <v>1</v>
      </c>
      <c r="F17" s="32">
        <v>1</v>
      </c>
      <c r="G17" s="34">
        <f t="shared" si="1"/>
        <v>0</v>
      </c>
    </row>
    <row r="18" spans="1:7" x14ac:dyDescent="0.25">
      <c r="A18" s="32">
        <v>1</v>
      </c>
      <c r="B18" s="32">
        <v>16</v>
      </c>
      <c r="C18" s="32">
        <v>0</v>
      </c>
      <c r="D18" s="33" t="s">
        <v>19</v>
      </c>
      <c r="E18" s="32">
        <v>1</v>
      </c>
      <c r="F18" s="32">
        <v>1</v>
      </c>
      <c r="G18" s="34">
        <f t="shared" si="1"/>
        <v>0</v>
      </c>
    </row>
    <row r="19" spans="1:7" x14ac:dyDescent="0.25">
      <c r="A19" s="32">
        <v>1</v>
      </c>
      <c r="B19" s="32">
        <v>16</v>
      </c>
      <c r="C19" s="32">
        <v>0</v>
      </c>
      <c r="D19" s="33" t="s">
        <v>19</v>
      </c>
      <c r="E19" s="32">
        <v>1</v>
      </c>
      <c r="F19" s="32">
        <v>1</v>
      </c>
      <c r="G19" s="34">
        <f t="shared" si="1"/>
        <v>0</v>
      </c>
    </row>
    <row r="20" spans="1:7" x14ac:dyDescent="0.25">
      <c r="A20" s="32">
        <v>1</v>
      </c>
      <c r="B20" s="32">
        <v>16</v>
      </c>
      <c r="C20" s="32">
        <v>0</v>
      </c>
      <c r="D20" s="33" t="s">
        <v>19</v>
      </c>
      <c r="E20" s="32">
        <v>1</v>
      </c>
      <c r="F20" s="32">
        <v>1</v>
      </c>
      <c r="G20" s="34">
        <f t="shared" si="1"/>
        <v>0</v>
      </c>
    </row>
    <row r="21" spans="1:7" x14ac:dyDescent="0.25">
      <c r="A21" s="32">
        <v>1</v>
      </c>
      <c r="B21" s="32">
        <v>16</v>
      </c>
      <c r="C21" s="32">
        <v>0</v>
      </c>
      <c r="D21" s="33" t="s">
        <v>19</v>
      </c>
      <c r="E21" s="32">
        <v>1</v>
      </c>
      <c r="F21" s="32">
        <v>1</v>
      </c>
      <c r="G21" s="34">
        <f t="shared" si="1"/>
        <v>0</v>
      </c>
    </row>
    <row r="22" spans="1:7" x14ac:dyDescent="0.25">
      <c r="A22" s="32">
        <v>1</v>
      </c>
      <c r="B22" s="32">
        <v>16</v>
      </c>
      <c r="C22" s="32">
        <v>0</v>
      </c>
      <c r="D22" s="33" t="s">
        <v>19</v>
      </c>
      <c r="E22" s="32">
        <v>1</v>
      </c>
      <c r="F22" s="32">
        <v>1</v>
      </c>
      <c r="G22" s="34">
        <f t="shared" si="1"/>
        <v>0</v>
      </c>
    </row>
    <row r="23" spans="1:7" x14ac:dyDescent="0.25">
      <c r="A23" s="32">
        <v>1</v>
      </c>
      <c r="B23" s="32">
        <v>16</v>
      </c>
      <c r="C23" s="32">
        <v>0</v>
      </c>
      <c r="D23" s="33" t="s">
        <v>19</v>
      </c>
      <c r="E23" s="32">
        <v>1</v>
      </c>
      <c r="F23" s="32">
        <v>1</v>
      </c>
      <c r="G23" s="34">
        <f t="shared" si="1"/>
        <v>0</v>
      </c>
    </row>
    <row r="24" spans="1:7" x14ac:dyDescent="0.25">
      <c r="A24" s="32">
        <v>1</v>
      </c>
      <c r="B24" s="32">
        <v>16</v>
      </c>
      <c r="C24" s="32">
        <v>0</v>
      </c>
      <c r="D24" s="33" t="s">
        <v>19</v>
      </c>
      <c r="E24" s="32">
        <v>1</v>
      </c>
      <c r="F24" s="32">
        <v>1</v>
      </c>
      <c r="G24" s="34">
        <f t="shared" si="1"/>
        <v>0</v>
      </c>
    </row>
    <row r="25" spans="1:7" x14ac:dyDescent="0.25">
      <c r="A25" s="6">
        <v>1</v>
      </c>
      <c r="B25" s="6">
        <v>16</v>
      </c>
      <c r="C25" s="6">
        <v>0.1</v>
      </c>
      <c r="D25" s="31" t="s">
        <v>19</v>
      </c>
      <c r="E25" s="6">
        <v>0</v>
      </c>
      <c r="F25" s="6">
        <v>0</v>
      </c>
      <c r="G25" s="34">
        <f>COUNTIF(F25,1)</f>
        <v>0</v>
      </c>
    </row>
    <row r="26" spans="1:7" x14ac:dyDescent="0.25">
      <c r="A26" s="6">
        <v>1</v>
      </c>
      <c r="B26" s="6">
        <v>16</v>
      </c>
      <c r="C26" s="6">
        <v>0.1</v>
      </c>
      <c r="D26" s="31" t="s">
        <v>19</v>
      </c>
      <c r="E26" s="6">
        <v>0</v>
      </c>
      <c r="F26" s="6">
        <v>0</v>
      </c>
      <c r="G26" s="34">
        <f t="shared" ref="G26:G35" si="2">COUNTIF(F26,1)</f>
        <v>0</v>
      </c>
    </row>
    <row r="27" spans="1:7" x14ac:dyDescent="0.25">
      <c r="A27" s="6">
        <v>1</v>
      </c>
      <c r="B27" s="6">
        <v>16</v>
      </c>
      <c r="C27" s="6">
        <v>0.1</v>
      </c>
      <c r="D27" s="31" t="s">
        <v>19</v>
      </c>
      <c r="E27" s="6">
        <v>0</v>
      </c>
      <c r="F27" s="6">
        <v>0</v>
      </c>
      <c r="G27" s="34">
        <f t="shared" si="2"/>
        <v>0</v>
      </c>
    </row>
    <row r="28" spans="1:7" x14ac:dyDescent="0.25">
      <c r="A28" s="6">
        <v>1</v>
      </c>
      <c r="B28" s="6">
        <v>16</v>
      </c>
      <c r="C28" s="6">
        <v>0.1</v>
      </c>
      <c r="D28" s="31" t="s">
        <v>19</v>
      </c>
      <c r="E28" s="6">
        <v>0</v>
      </c>
      <c r="F28" s="6">
        <v>0</v>
      </c>
      <c r="G28" s="34">
        <f t="shared" si="2"/>
        <v>0</v>
      </c>
    </row>
    <row r="29" spans="1:7" x14ac:dyDescent="0.25">
      <c r="A29" s="6">
        <v>1</v>
      </c>
      <c r="B29" s="6">
        <v>16</v>
      </c>
      <c r="C29" s="6">
        <v>0.1</v>
      </c>
      <c r="D29" s="31" t="s">
        <v>19</v>
      </c>
      <c r="E29" s="6">
        <v>0</v>
      </c>
      <c r="F29" s="6">
        <v>0</v>
      </c>
      <c r="G29" s="34">
        <f t="shared" si="2"/>
        <v>0</v>
      </c>
    </row>
    <row r="30" spans="1:7" x14ac:dyDescent="0.25">
      <c r="A30" s="6">
        <v>1</v>
      </c>
      <c r="B30" s="6">
        <v>16</v>
      </c>
      <c r="C30" s="6">
        <v>0.1</v>
      </c>
      <c r="D30" s="31" t="s">
        <v>19</v>
      </c>
      <c r="E30" s="6">
        <v>0</v>
      </c>
      <c r="F30" s="6">
        <v>0</v>
      </c>
      <c r="G30" s="34">
        <f t="shared" si="2"/>
        <v>0</v>
      </c>
    </row>
    <row r="31" spans="1:7" x14ac:dyDescent="0.25">
      <c r="A31" s="6">
        <v>1</v>
      </c>
      <c r="B31" s="6">
        <v>16</v>
      </c>
      <c r="C31" s="6">
        <v>0.1</v>
      </c>
      <c r="D31" s="31" t="s">
        <v>19</v>
      </c>
      <c r="E31" s="6">
        <v>0</v>
      </c>
      <c r="F31" s="6">
        <v>0</v>
      </c>
      <c r="G31" s="34">
        <f t="shared" si="2"/>
        <v>0</v>
      </c>
    </row>
    <row r="32" spans="1:7" x14ac:dyDescent="0.25">
      <c r="A32" s="6">
        <v>1</v>
      </c>
      <c r="B32" s="6">
        <v>16</v>
      </c>
      <c r="C32" s="6">
        <v>0.1</v>
      </c>
      <c r="D32" s="31" t="s">
        <v>19</v>
      </c>
      <c r="E32" s="6">
        <v>0</v>
      </c>
      <c r="F32" s="6">
        <v>0</v>
      </c>
      <c r="G32" s="34">
        <f t="shared" si="2"/>
        <v>0</v>
      </c>
    </row>
    <row r="33" spans="1:7" x14ac:dyDescent="0.25">
      <c r="A33" s="6">
        <v>1</v>
      </c>
      <c r="B33" s="6">
        <v>16</v>
      </c>
      <c r="C33" s="6">
        <v>0.1</v>
      </c>
      <c r="D33" s="31" t="s">
        <v>19</v>
      </c>
      <c r="E33" s="6">
        <v>0</v>
      </c>
      <c r="F33" s="6">
        <v>0</v>
      </c>
      <c r="G33" s="34">
        <f t="shared" si="2"/>
        <v>0</v>
      </c>
    </row>
    <row r="34" spans="1:7" x14ac:dyDescent="0.25">
      <c r="A34" s="6">
        <v>1</v>
      </c>
      <c r="B34" s="6">
        <v>16</v>
      </c>
      <c r="C34" s="6">
        <v>0.1</v>
      </c>
      <c r="D34" s="31" t="s">
        <v>19</v>
      </c>
      <c r="E34" s="6">
        <v>0</v>
      </c>
      <c r="F34" s="6">
        <v>0</v>
      </c>
      <c r="G34" s="34">
        <f t="shared" si="2"/>
        <v>0</v>
      </c>
    </row>
    <row r="35" spans="1:7" x14ac:dyDescent="0.25">
      <c r="A35" s="6">
        <v>1</v>
      </c>
      <c r="B35" s="6">
        <v>16</v>
      </c>
      <c r="C35" s="6">
        <v>0.1</v>
      </c>
      <c r="D35" s="31" t="s">
        <v>19</v>
      </c>
      <c r="E35" s="6">
        <v>0</v>
      </c>
      <c r="F35" s="6">
        <v>0</v>
      </c>
      <c r="G35" s="34">
        <f t="shared" si="2"/>
        <v>0</v>
      </c>
    </row>
    <row r="36" spans="1:7" x14ac:dyDescent="0.25">
      <c r="A36" s="32">
        <v>1</v>
      </c>
      <c r="B36" s="32">
        <v>16</v>
      </c>
      <c r="C36" s="32">
        <v>0.1</v>
      </c>
      <c r="D36" s="33" t="s">
        <v>19</v>
      </c>
      <c r="E36" s="32">
        <v>1</v>
      </c>
      <c r="F36" s="32">
        <v>1</v>
      </c>
      <c r="G36" s="34">
        <f>COUNTIF(F36,0)</f>
        <v>0</v>
      </c>
    </row>
    <row r="37" spans="1:7" x14ac:dyDescent="0.25">
      <c r="A37" s="32">
        <v>1</v>
      </c>
      <c r="B37" s="32">
        <v>16</v>
      </c>
      <c r="C37" s="32">
        <v>0.1</v>
      </c>
      <c r="D37" s="33" t="s">
        <v>19</v>
      </c>
      <c r="E37" s="32">
        <v>1</v>
      </c>
      <c r="F37" s="32">
        <v>1</v>
      </c>
      <c r="G37" s="34">
        <f t="shared" ref="G37:G46" si="3">COUNTIF(F37,0)</f>
        <v>0</v>
      </c>
    </row>
    <row r="38" spans="1:7" x14ac:dyDescent="0.25">
      <c r="A38" s="32">
        <v>1</v>
      </c>
      <c r="B38" s="32">
        <v>16</v>
      </c>
      <c r="C38" s="32">
        <v>0.1</v>
      </c>
      <c r="D38" s="33" t="s">
        <v>19</v>
      </c>
      <c r="E38" s="32">
        <v>1</v>
      </c>
      <c r="F38" s="32">
        <v>1</v>
      </c>
      <c r="G38" s="34">
        <f t="shared" si="3"/>
        <v>0</v>
      </c>
    </row>
    <row r="39" spans="1:7" x14ac:dyDescent="0.25">
      <c r="A39" s="32">
        <v>1</v>
      </c>
      <c r="B39" s="32">
        <v>16</v>
      </c>
      <c r="C39" s="32">
        <v>0.1</v>
      </c>
      <c r="D39" s="33" t="s">
        <v>19</v>
      </c>
      <c r="E39" s="32">
        <v>1</v>
      </c>
      <c r="F39" s="32">
        <v>1</v>
      </c>
      <c r="G39" s="34">
        <f t="shared" si="3"/>
        <v>0</v>
      </c>
    </row>
    <row r="40" spans="1:7" x14ac:dyDescent="0.25">
      <c r="A40" s="32">
        <v>1</v>
      </c>
      <c r="B40" s="32">
        <v>16</v>
      </c>
      <c r="C40" s="32">
        <v>0.1</v>
      </c>
      <c r="D40" s="33" t="s">
        <v>19</v>
      </c>
      <c r="E40" s="32">
        <v>1</v>
      </c>
      <c r="F40" s="32">
        <v>0</v>
      </c>
      <c r="G40" s="34">
        <f t="shared" si="3"/>
        <v>1</v>
      </c>
    </row>
    <row r="41" spans="1:7" x14ac:dyDescent="0.25">
      <c r="A41" s="32">
        <v>1</v>
      </c>
      <c r="B41" s="32">
        <v>16</v>
      </c>
      <c r="C41" s="32">
        <v>0.1</v>
      </c>
      <c r="D41" s="33" t="s">
        <v>19</v>
      </c>
      <c r="E41" s="32">
        <v>1</v>
      </c>
      <c r="F41" s="32">
        <v>1</v>
      </c>
      <c r="G41" s="34">
        <f t="shared" si="3"/>
        <v>0</v>
      </c>
    </row>
    <row r="42" spans="1:7" x14ac:dyDescent="0.25">
      <c r="A42" s="32">
        <v>1</v>
      </c>
      <c r="B42" s="32">
        <v>16</v>
      </c>
      <c r="C42" s="32">
        <v>0.1</v>
      </c>
      <c r="D42" s="33" t="s">
        <v>19</v>
      </c>
      <c r="E42" s="32">
        <v>1</v>
      </c>
      <c r="F42" s="32">
        <v>0</v>
      </c>
      <c r="G42" s="34">
        <f t="shared" si="3"/>
        <v>1</v>
      </c>
    </row>
    <row r="43" spans="1:7" x14ac:dyDescent="0.25">
      <c r="A43" s="32">
        <v>1</v>
      </c>
      <c r="B43" s="32">
        <v>16</v>
      </c>
      <c r="C43" s="32">
        <v>0.1</v>
      </c>
      <c r="D43" s="33" t="s">
        <v>19</v>
      </c>
      <c r="E43" s="32">
        <v>1</v>
      </c>
      <c r="F43" s="32">
        <v>1</v>
      </c>
      <c r="G43" s="34">
        <f t="shared" si="3"/>
        <v>0</v>
      </c>
    </row>
    <row r="44" spans="1:7" x14ac:dyDescent="0.25">
      <c r="A44" s="32">
        <v>1</v>
      </c>
      <c r="B44" s="32">
        <v>16</v>
      </c>
      <c r="C44" s="32">
        <v>0.1</v>
      </c>
      <c r="D44" s="33" t="s">
        <v>19</v>
      </c>
      <c r="E44" s="32">
        <v>1</v>
      </c>
      <c r="F44" s="32">
        <v>1</v>
      </c>
      <c r="G44" s="34">
        <f t="shared" si="3"/>
        <v>0</v>
      </c>
    </row>
    <row r="45" spans="1:7" x14ac:dyDescent="0.25">
      <c r="A45" s="32">
        <v>1</v>
      </c>
      <c r="B45" s="32">
        <v>16</v>
      </c>
      <c r="C45" s="32">
        <v>0.1</v>
      </c>
      <c r="D45" s="33" t="s">
        <v>19</v>
      </c>
      <c r="E45" s="32">
        <v>1</v>
      </c>
      <c r="F45" s="32">
        <v>1</v>
      </c>
      <c r="G45" s="34">
        <f t="shared" si="3"/>
        <v>0</v>
      </c>
    </row>
    <row r="46" spans="1:7" x14ac:dyDescent="0.25">
      <c r="A46" s="32">
        <v>1</v>
      </c>
      <c r="B46" s="32">
        <v>16</v>
      </c>
      <c r="C46" s="32">
        <v>0.1</v>
      </c>
      <c r="D46" s="33" t="s">
        <v>19</v>
      </c>
      <c r="E46" s="32">
        <v>1</v>
      </c>
      <c r="F46" s="32">
        <v>1</v>
      </c>
      <c r="G46" s="34">
        <f t="shared" si="3"/>
        <v>0</v>
      </c>
    </row>
    <row r="47" spans="1:7" x14ac:dyDescent="0.25">
      <c r="A47" s="6">
        <v>1</v>
      </c>
      <c r="B47" s="6">
        <v>16</v>
      </c>
      <c r="C47" s="6">
        <v>0.2</v>
      </c>
      <c r="D47" s="31" t="s">
        <v>19</v>
      </c>
      <c r="E47" s="6">
        <v>0</v>
      </c>
      <c r="F47" s="6">
        <v>0</v>
      </c>
      <c r="G47" s="34">
        <f>COUNTIF(F47,1)</f>
        <v>0</v>
      </c>
    </row>
    <row r="48" spans="1:7" x14ac:dyDescent="0.25">
      <c r="A48" s="6">
        <v>1</v>
      </c>
      <c r="B48" s="6">
        <v>16</v>
      </c>
      <c r="C48" s="6">
        <v>0.2</v>
      </c>
      <c r="D48" s="31" t="s">
        <v>19</v>
      </c>
      <c r="E48" s="6">
        <v>0</v>
      </c>
      <c r="F48" s="6">
        <v>1</v>
      </c>
      <c r="G48" s="34">
        <f t="shared" ref="G48:G57" si="4">COUNTIF(F48,1)</f>
        <v>1</v>
      </c>
    </row>
    <row r="49" spans="1:7" x14ac:dyDescent="0.25">
      <c r="A49" s="6">
        <v>1</v>
      </c>
      <c r="B49" s="6">
        <v>16</v>
      </c>
      <c r="C49" s="6">
        <v>0.2</v>
      </c>
      <c r="D49" s="31" t="s">
        <v>19</v>
      </c>
      <c r="E49" s="6">
        <v>0</v>
      </c>
      <c r="F49" s="6">
        <v>0</v>
      </c>
      <c r="G49" s="34">
        <f t="shared" si="4"/>
        <v>0</v>
      </c>
    </row>
    <row r="50" spans="1:7" x14ac:dyDescent="0.25">
      <c r="A50" s="6">
        <v>1</v>
      </c>
      <c r="B50" s="6">
        <v>16</v>
      </c>
      <c r="C50" s="6">
        <v>0.2</v>
      </c>
      <c r="D50" s="31" t="s">
        <v>19</v>
      </c>
      <c r="E50" s="6">
        <v>0</v>
      </c>
      <c r="F50" s="6">
        <v>0</v>
      </c>
      <c r="G50" s="34">
        <f t="shared" si="4"/>
        <v>0</v>
      </c>
    </row>
    <row r="51" spans="1:7" x14ac:dyDescent="0.25">
      <c r="A51" s="6">
        <v>1</v>
      </c>
      <c r="B51" s="6">
        <v>16</v>
      </c>
      <c r="C51" s="6">
        <v>0.2</v>
      </c>
      <c r="D51" s="31" t="s">
        <v>19</v>
      </c>
      <c r="E51" s="6">
        <v>0</v>
      </c>
      <c r="F51" s="6">
        <v>0</v>
      </c>
      <c r="G51" s="34">
        <f t="shared" si="4"/>
        <v>0</v>
      </c>
    </row>
    <row r="52" spans="1:7" x14ac:dyDescent="0.25">
      <c r="A52" s="6">
        <v>1</v>
      </c>
      <c r="B52" s="6">
        <v>16</v>
      </c>
      <c r="C52" s="6">
        <v>0.2</v>
      </c>
      <c r="D52" s="31" t="s">
        <v>19</v>
      </c>
      <c r="E52" s="6">
        <v>0</v>
      </c>
      <c r="F52" s="6">
        <v>1</v>
      </c>
      <c r="G52" s="34">
        <f t="shared" si="4"/>
        <v>1</v>
      </c>
    </row>
    <row r="53" spans="1:7" x14ac:dyDescent="0.25">
      <c r="A53" s="6">
        <v>1</v>
      </c>
      <c r="B53" s="6">
        <v>16</v>
      </c>
      <c r="C53" s="6">
        <v>0.2</v>
      </c>
      <c r="D53" s="31" t="s">
        <v>19</v>
      </c>
      <c r="E53" s="6">
        <v>0</v>
      </c>
      <c r="F53" s="6">
        <v>0</v>
      </c>
      <c r="G53" s="34">
        <f t="shared" si="4"/>
        <v>0</v>
      </c>
    </row>
    <row r="54" spans="1:7" x14ac:dyDescent="0.25">
      <c r="A54" s="6">
        <v>1</v>
      </c>
      <c r="B54" s="6">
        <v>16</v>
      </c>
      <c r="C54" s="6">
        <v>0.2</v>
      </c>
      <c r="D54" s="31" t="s">
        <v>19</v>
      </c>
      <c r="E54" s="6">
        <v>0</v>
      </c>
      <c r="F54" s="6">
        <v>0</v>
      </c>
      <c r="G54" s="34">
        <f t="shared" si="4"/>
        <v>0</v>
      </c>
    </row>
    <row r="55" spans="1:7" x14ac:dyDescent="0.25">
      <c r="A55" s="6">
        <v>1</v>
      </c>
      <c r="B55" s="6">
        <v>16</v>
      </c>
      <c r="C55" s="6">
        <v>0.2</v>
      </c>
      <c r="D55" s="31" t="s">
        <v>19</v>
      </c>
      <c r="E55" s="6">
        <v>0</v>
      </c>
      <c r="F55" s="6">
        <v>1</v>
      </c>
      <c r="G55" s="34">
        <f t="shared" si="4"/>
        <v>1</v>
      </c>
    </row>
    <row r="56" spans="1:7" x14ac:dyDescent="0.25">
      <c r="A56" s="6">
        <v>1</v>
      </c>
      <c r="B56" s="6">
        <v>16</v>
      </c>
      <c r="C56" s="6">
        <v>0.2</v>
      </c>
      <c r="D56" s="31" t="s">
        <v>19</v>
      </c>
      <c r="E56" s="6">
        <v>0</v>
      </c>
      <c r="F56" s="6">
        <v>1</v>
      </c>
      <c r="G56" s="34">
        <f t="shared" si="4"/>
        <v>1</v>
      </c>
    </row>
    <row r="57" spans="1:7" x14ac:dyDescent="0.25">
      <c r="A57" s="6">
        <v>1</v>
      </c>
      <c r="B57" s="6">
        <v>16</v>
      </c>
      <c r="C57" s="6">
        <v>0.2</v>
      </c>
      <c r="D57" s="31" t="s">
        <v>19</v>
      </c>
      <c r="E57" s="6">
        <v>0</v>
      </c>
      <c r="F57" s="6">
        <v>0</v>
      </c>
      <c r="G57" s="34">
        <f t="shared" si="4"/>
        <v>0</v>
      </c>
    </row>
    <row r="58" spans="1:7" x14ac:dyDescent="0.25">
      <c r="A58" s="32">
        <v>1</v>
      </c>
      <c r="B58" s="32">
        <v>16</v>
      </c>
      <c r="C58" s="32">
        <v>0.2</v>
      </c>
      <c r="D58" s="33" t="s">
        <v>19</v>
      </c>
      <c r="E58" s="32">
        <v>1</v>
      </c>
      <c r="F58" s="32">
        <v>1</v>
      </c>
      <c r="G58" s="34">
        <f>COUNTIF(F58,0)</f>
        <v>0</v>
      </c>
    </row>
    <row r="59" spans="1:7" x14ac:dyDescent="0.25">
      <c r="A59" s="32">
        <v>1</v>
      </c>
      <c r="B59" s="32">
        <v>16</v>
      </c>
      <c r="C59" s="32">
        <v>0.2</v>
      </c>
      <c r="D59" s="33" t="s">
        <v>19</v>
      </c>
      <c r="E59" s="32">
        <v>1</v>
      </c>
      <c r="F59" s="32">
        <v>1</v>
      </c>
      <c r="G59" s="34">
        <f t="shared" ref="G59:G68" si="5">COUNTIF(F59,0)</f>
        <v>0</v>
      </c>
    </row>
    <row r="60" spans="1:7" x14ac:dyDescent="0.25">
      <c r="A60" s="32">
        <v>1</v>
      </c>
      <c r="B60" s="32">
        <v>16</v>
      </c>
      <c r="C60" s="32">
        <v>0.2</v>
      </c>
      <c r="D60" s="33" t="s">
        <v>19</v>
      </c>
      <c r="E60" s="32">
        <v>1</v>
      </c>
      <c r="F60" s="32">
        <v>0</v>
      </c>
      <c r="G60" s="34">
        <f t="shared" si="5"/>
        <v>1</v>
      </c>
    </row>
    <row r="61" spans="1:7" x14ac:dyDescent="0.25">
      <c r="A61" s="32">
        <v>1</v>
      </c>
      <c r="B61" s="32">
        <v>16</v>
      </c>
      <c r="C61" s="32">
        <v>0.2</v>
      </c>
      <c r="D61" s="33" t="s">
        <v>19</v>
      </c>
      <c r="E61" s="32">
        <v>1</v>
      </c>
      <c r="F61" s="32">
        <v>1</v>
      </c>
      <c r="G61" s="34">
        <f t="shared" si="5"/>
        <v>0</v>
      </c>
    </row>
    <row r="62" spans="1:7" x14ac:dyDescent="0.25">
      <c r="A62" s="32">
        <v>1</v>
      </c>
      <c r="B62" s="32">
        <v>16</v>
      </c>
      <c r="C62" s="32">
        <v>0.2</v>
      </c>
      <c r="D62" s="33" t="s">
        <v>19</v>
      </c>
      <c r="E62" s="32">
        <v>1</v>
      </c>
      <c r="F62" s="32">
        <v>1</v>
      </c>
      <c r="G62" s="34">
        <f t="shared" si="5"/>
        <v>0</v>
      </c>
    </row>
    <row r="63" spans="1:7" x14ac:dyDescent="0.25">
      <c r="A63" s="32">
        <v>1</v>
      </c>
      <c r="B63" s="32">
        <v>16</v>
      </c>
      <c r="C63" s="32">
        <v>0.2</v>
      </c>
      <c r="D63" s="33" t="s">
        <v>19</v>
      </c>
      <c r="E63" s="32">
        <v>1</v>
      </c>
      <c r="F63" s="32">
        <v>1</v>
      </c>
      <c r="G63" s="34">
        <f t="shared" si="5"/>
        <v>0</v>
      </c>
    </row>
    <row r="64" spans="1:7" x14ac:dyDescent="0.25">
      <c r="A64" s="32">
        <v>1</v>
      </c>
      <c r="B64" s="32">
        <v>16</v>
      </c>
      <c r="C64" s="32">
        <v>0.2</v>
      </c>
      <c r="D64" s="33" t="s">
        <v>19</v>
      </c>
      <c r="E64" s="32">
        <v>1</v>
      </c>
      <c r="F64" s="32">
        <v>1</v>
      </c>
      <c r="G64" s="34">
        <f t="shared" si="5"/>
        <v>0</v>
      </c>
    </row>
    <row r="65" spans="1:7" x14ac:dyDescent="0.25">
      <c r="A65" s="32">
        <v>1</v>
      </c>
      <c r="B65" s="32">
        <v>16</v>
      </c>
      <c r="C65" s="32">
        <v>0.2</v>
      </c>
      <c r="D65" s="33" t="s">
        <v>19</v>
      </c>
      <c r="E65" s="32">
        <v>1</v>
      </c>
      <c r="F65" s="32">
        <v>1</v>
      </c>
      <c r="G65" s="34">
        <f t="shared" si="5"/>
        <v>0</v>
      </c>
    </row>
    <row r="66" spans="1:7" x14ac:dyDescent="0.25">
      <c r="A66" s="32">
        <v>1</v>
      </c>
      <c r="B66" s="32">
        <v>16</v>
      </c>
      <c r="C66" s="32">
        <v>0.2</v>
      </c>
      <c r="D66" s="33" t="s">
        <v>19</v>
      </c>
      <c r="E66" s="32">
        <v>1</v>
      </c>
      <c r="F66" s="32">
        <v>1</v>
      </c>
      <c r="G66" s="34">
        <f t="shared" si="5"/>
        <v>0</v>
      </c>
    </row>
    <row r="67" spans="1:7" x14ac:dyDescent="0.25">
      <c r="A67" s="32">
        <v>1</v>
      </c>
      <c r="B67" s="32">
        <v>16</v>
      </c>
      <c r="C67" s="32">
        <v>0.2</v>
      </c>
      <c r="D67" s="33" t="s">
        <v>19</v>
      </c>
      <c r="E67" s="32">
        <v>1</v>
      </c>
      <c r="F67" s="32">
        <v>1</v>
      </c>
      <c r="G67" s="34">
        <f t="shared" si="5"/>
        <v>0</v>
      </c>
    </row>
    <row r="68" spans="1:7" x14ac:dyDescent="0.25">
      <c r="A68" s="32">
        <v>1</v>
      </c>
      <c r="B68" s="32">
        <v>16</v>
      </c>
      <c r="C68" s="32">
        <v>0.2</v>
      </c>
      <c r="D68" s="33" t="s">
        <v>19</v>
      </c>
      <c r="E68" s="32">
        <v>1</v>
      </c>
      <c r="F68" s="32">
        <v>1</v>
      </c>
      <c r="G68" s="34">
        <f t="shared" si="5"/>
        <v>0</v>
      </c>
    </row>
    <row r="69" spans="1:7" x14ac:dyDescent="0.25">
      <c r="A69" s="6">
        <v>1</v>
      </c>
      <c r="B69" s="6">
        <v>16</v>
      </c>
      <c r="C69" s="6">
        <v>0.3</v>
      </c>
      <c r="D69" s="31" t="s">
        <v>19</v>
      </c>
      <c r="E69" s="6">
        <v>0</v>
      </c>
      <c r="F69" s="6">
        <v>0</v>
      </c>
      <c r="G69" s="34">
        <f>COUNTIF(F69,1)</f>
        <v>0</v>
      </c>
    </row>
    <row r="70" spans="1:7" x14ac:dyDescent="0.25">
      <c r="A70" s="6">
        <v>1</v>
      </c>
      <c r="B70" s="6">
        <v>16</v>
      </c>
      <c r="C70" s="6">
        <v>0.3</v>
      </c>
      <c r="D70" s="31" t="s">
        <v>19</v>
      </c>
      <c r="E70" s="6">
        <v>0</v>
      </c>
      <c r="F70" s="6">
        <v>0</v>
      </c>
      <c r="G70" s="34">
        <f t="shared" ref="G70:G79" si="6">COUNTIF(F70,1)</f>
        <v>0</v>
      </c>
    </row>
    <row r="71" spans="1:7" x14ac:dyDescent="0.25">
      <c r="A71" s="6">
        <v>1</v>
      </c>
      <c r="B71" s="6">
        <v>16</v>
      </c>
      <c r="C71" s="6">
        <v>0.3</v>
      </c>
      <c r="D71" s="31" t="s">
        <v>19</v>
      </c>
      <c r="E71" s="6">
        <v>0</v>
      </c>
      <c r="F71" s="6">
        <v>1</v>
      </c>
      <c r="G71" s="34">
        <f t="shared" si="6"/>
        <v>1</v>
      </c>
    </row>
    <row r="72" spans="1:7" x14ac:dyDescent="0.25">
      <c r="A72" s="6">
        <v>1</v>
      </c>
      <c r="B72" s="6">
        <v>16</v>
      </c>
      <c r="C72" s="6">
        <v>0.3</v>
      </c>
      <c r="D72" s="31" t="s">
        <v>19</v>
      </c>
      <c r="E72" s="6">
        <v>0</v>
      </c>
      <c r="F72" s="6">
        <v>0</v>
      </c>
      <c r="G72" s="34">
        <f t="shared" si="6"/>
        <v>0</v>
      </c>
    </row>
    <row r="73" spans="1:7" x14ac:dyDescent="0.25">
      <c r="A73" s="6">
        <v>1</v>
      </c>
      <c r="B73" s="6">
        <v>16</v>
      </c>
      <c r="C73" s="6">
        <v>0.3</v>
      </c>
      <c r="D73" s="31" t="s">
        <v>19</v>
      </c>
      <c r="E73" s="6">
        <v>0</v>
      </c>
      <c r="F73" s="6">
        <v>1</v>
      </c>
      <c r="G73" s="34">
        <f t="shared" si="6"/>
        <v>1</v>
      </c>
    </row>
    <row r="74" spans="1:7" x14ac:dyDescent="0.25">
      <c r="A74" s="6">
        <v>1</v>
      </c>
      <c r="B74" s="6">
        <v>16</v>
      </c>
      <c r="C74" s="6">
        <v>0.3</v>
      </c>
      <c r="D74" s="31" t="s">
        <v>19</v>
      </c>
      <c r="E74" s="6">
        <v>0</v>
      </c>
      <c r="F74" s="6">
        <v>1</v>
      </c>
      <c r="G74" s="34">
        <f t="shared" si="6"/>
        <v>1</v>
      </c>
    </row>
    <row r="75" spans="1:7" x14ac:dyDescent="0.25">
      <c r="A75" s="6">
        <v>1</v>
      </c>
      <c r="B75" s="6">
        <v>16</v>
      </c>
      <c r="C75" s="6">
        <v>0.3</v>
      </c>
      <c r="D75" s="31" t="s">
        <v>19</v>
      </c>
      <c r="E75" s="6">
        <v>0</v>
      </c>
      <c r="F75" s="6">
        <v>0</v>
      </c>
      <c r="G75" s="34">
        <f t="shared" si="6"/>
        <v>0</v>
      </c>
    </row>
    <row r="76" spans="1:7" x14ac:dyDescent="0.25">
      <c r="A76" s="6">
        <v>1</v>
      </c>
      <c r="B76" s="6">
        <v>16</v>
      </c>
      <c r="C76" s="6">
        <v>0.3</v>
      </c>
      <c r="D76" s="31" t="s">
        <v>19</v>
      </c>
      <c r="E76" s="6">
        <v>0</v>
      </c>
      <c r="F76" s="6">
        <v>0</v>
      </c>
      <c r="G76" s="34">
        <f t="shared" si="6"/>
        <v>0</v>
      </c>
    </row>
    <row r="77" spans="1:7" x14ac:dyDescent="0.25">
      <c r="A77" s="6">
        <v>1</v>
      </c>
      <c r="B77" s="6">
        <v>16</v>
      </c>
      <c r="C77" s="6">
        <v>0.3</v>
      </c>
      <c r="D77" s="31" t="s">
        <v>19</v>
      </c>
      <c r="E77" s="6">
        <v>0</v>
      </c>
      <c r="F77" s="6">
        <v>0</v>
      </c>
      <c r="G77" s="34">
        <f t="shared" si="6"/>
        <v>0</v>
      </c>
    </row>
    <row r="78" spans="1:7" x14ac:dyDescent="0.25">
      <c r="A78" s="6">
        <v>1</v>
      </c>
      <c r="B78" s="6">
        <v>16</v>
      </c>
      <c r="C78" s="6">
        <v>0.3</v>
      </c>
      <c r="D78" s="31" t="s">
        <v>19</v>
      </c>
      <c r="E78" s="6">
        <v>0</v>
      </c>
      <c r="F78" s="6">
        <v>0</v>
      </c>
      <c r="G78" s="34">
        <f t="shared" si="6"/>
        <v>0</v>
      </c>
    </row>
    <row r="79" spans="1:7" x14ac:dyDescent="0.25">
      <c r="A79" s="6">
        <v>1</v>
      </c>
      <c r="B79" s="6">
        <v>16</v>
      </c>
      <c r="C79" s="6">
        <v>0.3</v>
      </c>
      <c r="D79" s="31" t="s">
        <v>19</v>
      </c>
      <c r="E79" s="6">
        <v>0</v>
      </c>
      <c r="F79" s="6">
        <v>1</v>
      </c>
      <c r="G79" s="34">
        <f t="shared" si="6"/>
        <v>1</v>
      </c>
    </row>
    <row r="80" spans="1:7" x14ac:dyDescent="0.25">
      <c r="A80" s="32">
        <v>1</v>
      </c>
      <c r="B80" s="32">
        <v>16</v>
      </c>
      <c r="C80" s="32">
        <v>0.3</v>
      </c>
      <c r="D80" s="33" t="s">
        <v>19</v>
      </c>
      <c r="E80" s="32">
        <v>1</v>
      </c>
      <c r="F80" s="32">
        <v>1</v>
      </c>
      <c r="G80" s="34">
        <f>COUNTIF(F80,0)</f>
        <v>0</v>
      </c>
    </row>
    <row r="81" spans="1:7" x14ac:dyDescent="0.25">
      <c r="A81" s="32">
        <v>1</v>
      </c>
      <c r="B81" s="32">
        <v>16</v>
      </c>
      <c r="C81" s="32">
        <v>0.3</v>
      </c>
      <c r="D81" s="33" t="s">
        <v>19</v>
      </c>
      <c r="E81" s="32">
        <v>1</v>
      </c>
      <c r="F81" s="32">
        <v>1</v>
      </c>
      <c r="G81" s="34">
        <f t="shared" ref="G81:G90" si="7">COUNTIF(F81,0)</f>
        <v>0</v>
      </c>
    </row>
    <row r="82" spans="1:7" x14ac:dyDescent="0.25">
      <c r="A82" s="32">
        <v>1</v>
      </c>
      <c r="B82" s="32">
        <v>16</v>
      </c>
      <c r="C82" s="32">
        <v>0.3</v>
      </c>
      <c r="D82" s="33" t="s">
        <v>19</v>
      </c>
      <c r="E82" s="32">
        <v>1</v>
      </c>
      <c r="F82" s="32">
        <v>0</v>
      </c>
      <c r="G82" s="34">
        <f t="shared" si="7"/>
        <v>1</v>
      </c>
    </row>
    <row r="83" spans="1:7" x14ac:dyDescent="0.25">
      <c r="A83" s="32">
        <v>1</v>
      </c>
      <c r="B83" s="32">
        <v>16</v>
      </c>
      <c r="C83" s="32">
        <v>0.3</v>
      </c>
      <c r="D83" s="33" t="s">
        <v>19</v>
      </c>
      <c r="E83" s="32">
        <v>1</v>
      </c>
      <c r="F83" s="32">
        <v>1</v>
      </c>
      <c r="G83" s="34">
        <f t="shared" si="7"/>
        <v>0</v>
      </c>
    </row>
    <row r="84" spans="1:7" x14ac:dyDescent="0.25">
      <c r="A84" s="32">
        <v>1</v>
      </c>
      <c r="B84" s="32">
        <v>16</v>
      </c>
      <c r="C84" s="32">
        <v>0.3</v>
      </c>
      <c r="D84" s="33" t="s">
        <v>19</v>
      </c>
      <c r="E84" s="32">
        <v>1</v>
      </c>
      <c r="F84" s="32">
        <v>1</v>
      </c>
      <c r="G84" s="34">
        <f t="shared" si="7"/>
        <v>0</v>
      </c>
    </row>
    <row r="85" spans="1:7" x14ac:dyDescent="0.25">
      <c r="A85" s="32">
        <v>1</v>
      </c>
      <c r="B85" s="32">
        <v>16</v>
      </c>
      <c r="C85" s="32">
        <v>0.3</v>
      </c>
      <c r="D85" s="33" t="s">
        <v>19</v>
      </c>
      <c r="E85" s="32">
        <v>1</v>
      </c>
      <c r="F85" s="32">
        <v>1</v>
      </c>
      <c r="G85" s="34">
        <f t="shared" si="7"/>
        <v>0</v>
      </c>
    </row>
    <row r="86" spans="1:7" x14ac:dyDescent="0.25">
      <c r="A86" s="32">
        <v>1</v>
      </c>
      <c r="B86" s="32">
        <v>16</v>
      </c>
      <c r="C86" s="32">
        <v>0.3</v>
      </c>
      <c r="D86" s="33" t="s">
        <v>19</v>
      </c>
      <c r="E86" s="32">
        <v>1</v>
      </c>
      <c r="F86" s="32">
        <v>1</v>
      </c>
      <c r="G86" s="34">
        <f t="shared" si="7"/>
        <v>0</v>
      </c>
    </row>
    <row r="87" spans="1:7" x14ac:dyDescent="0.25">
      <c r="A87" s="32">
        <v>1</v>
      </c>
      <c r="B87" s="32">
        <v>16</v>
      </c>
      <c r="C87" s="32">
        <v>0.3</v>
      </c>
      <c r="D87" s="33" t="s">
        <v>19</v>
      </c>
      <c r="E87" s="32">
        <v>1</v>
      </c>
      <c r="F87" s="32">
        <v>1</v>
      </c>
      <c r="G87" s="34">
        <f t="shared" si="7"/>
        <v>0</v>
      </c>
    </row>
    <row r="88" spans="1:7" x14ac:dyDescent="0.25">
      <c r="A88" s="32">
        <v>1</v>
      </c>
      <c r="B88" s="32">
        <v>16</v>
      </c>
      <c r="C88" s="32">
        <v>0.3</v>
      </c>
      <c r="D88" s="33" t="s">
        <v>19</v>
      </c>
      <c r="E88" s="32">
        <v>1</v>
      </c>
      <c r="F88" s="32">
        <v>1</v>
      </c>
      <c r="G88" s="34">
        <f t="shared" si="7"/>
        <v>0</v>
      </c>
    </row>
    <row r="89" spans="1:7" x14ac:dyDescent="0.25">
      <c r="A89" s="32">
        <v>1</v>
      </c>
      <c r="B89" s="32">
        <v>16</v>
      </c>
      <c r="C89" s="32">
        <v>0.3</v>
      </c>
      <c r="D89" s="33" t="s">
        <v>19</v>
      </c>
      <c r="E89" s="32">
        <v>1</v>
      </c>
      <c r="F89" s="32">
        <v>1</v>
      </c>
      <c r="G89" s="34">
        <f t="shared" si="7"/>
        <v>0</v>
      </c>
    </row>
    <row r="90" spans="1:7" x14ac:dyDescent="0.25">
      <c r="A90" s="32">
        <v>1</v>
      </c>
      <c r="B90" s="32">
        <v>16</v>
      </c>
      <c r="C90" s="32">
        <v>0.3</v>
      </c>
      <c r="D90" s="33" t="s">
        <v>19</v>
      </c>
      <c r="E90" s="32">
        <v>1</v>
      </c>
      <c r="F90" s="32">
        <v>0</v>
      </c>
      <c r="G90" s="34">
        <f t="shared" si="7"/>
        <v>1</v>
      </c>
    </row>
    <row r="91" spans="1:7" x14ac:dyDescent="0.25">
      <c r="A91" s="6">
        <v>1</v>
      </c>
      <c r="B91" s="6">
        <v>16</v>
      </c>
      <c r="C91" s="6">
        <v>0.4</v>
      </c>
      <c r="D91" s="31" t="s">
        <v>19</v>
      </c>
      <c r="E91" s="6">
        <v>0</v>
      </c>
      <c r="F91" s="6">
        <v>1</v>
      </c>
      <c r="G91" s="34">
        <f>COUNTIF(F91,1)</f>
        <v>1</v>
      </c>
    </row>
    <row r="92" spans="1:7" x14ac:dyDescent="0.25">
      <c r="A92" s="6">
        <v>1</v>
      </c>
      <c r="B92" s="6">
        <v>16</v>
      </c>
      <c r="C92" s="6">
        <v>0.4</v>
      </c>
      <c r="D92" s="31" t="s">
        <v>19</v>
      </c>
      <c r="E92" s="6">
        <v>0</v>
      </c>
      <c r="F92" s="6">
        <v>1</v>
      </c>
      <c r="G92" s="34">
        <f t="shared" ref="G92:G101" si="8">COUNTIF(F92,1)</f>
        <v>1</v>
      </c>
    </row>
    <row r="93" spans="1:7" x14ac:dyDescent="0.25">
      <c r="A93" s="6">
        <v>1</v>
      </c>
      <c r="B93" s="6">
        <v>16</v>
      </c>
      <c r="C93" s="6">
        <v>0.4</v>
      </c>
      <c r="D93" s="31" t="s">
        <v>19</v>
      </c>
      <c r="E93" s="6">
        <v>0</v>
      </c>
      <c r="F93" s="6">
        <v>0</v>
      </c>
      <c r="G93" s="34">
        <f t="shared" si="8"/>
        <v>0</v>
      </c>
    </row>
    <row r="94" spans="1:7" x14ac:dyDescent="0.25">
      <c r="A94" s="6">
        <v>1</v>
      </c>
      <c r="B94" s="6">
        <v>16</v>
      </c>
      <c r="C94" s="6">
        <v>0.4</v>
      </c>
      <c r="D94" s="31" t="s">
        <v>19</v>
      </c>
      <c r="E94" s="6">
        <v>0</v>
      </c>
      <c r="F94" s="6">
        <v>0</v>
      </c>
      <c r="G94" s="34">
        <f t="shared" si="8"/>
        <v>0</v>
      </c>
    </row>
    <row r="95" spans="1:7" x14ac:dyDescent="0.25">
      <c r="A95" s="6">
        <v>1</v>
      </c>
      <c r="B95" s="6">
        <v>16</v>
      </c>
      <c r="C95" s="6">
        <v>0.4</v>
      </c>
      <c r="D95" s="31" t="s">
        <v>19</v>
      </c>
      <c r="E95" s="6">
        <v>0</v>
      </c>
      <c r="F95" s="6">
        <v>0</v>
      </c>
      <c r="G95" s="34">
        <f t="shared" si="8"/>
        <v>0</v>
      </c>
    </row>
    <row r="96" spans="1:7" x14ac:dyDescent="0.25">
      <c r="A96" s="6">
        <v>1</v>
      </c>
      <c r="B96" s="6">
        <v>16</v>
      </c>
      <c r="C96" s="6">
        <v>0.4</v>
      </c>
      <c r="D96" s="31" t="s">
        <v>19</v>
      </c>
      <c r="E96" s="6">
        <v>0</v>
      </c>
      <c r="F96" s="6">
        <v>0</v>
      </c>
      <c r="G96" s="34">
        <f t="shared" si="8"/>
        <v>0</v>
      </c>
    </row>
    <row r="97" spans="1:7" x14ac:dyDescent="0.25">
      <c r="A97" s="6">
        <v>1</v>
      </c>
      <c r="B97" s="6">
        <v>16</v>
      </c>
      <c r="C97" s="6">
        <v>0.4</v>
      </c>
      <c r="D97" s="31" t="s">
        <v>19</v>
      </c>
      <c r="E97" s="6">
        <v>0</v>
      </c>
      <c r="F97" s="6">
        <v>0</v>
      </c>
      <c r="G97" s="34">
        <f t="shared" si="8"/>
        <v>0</v>
      </c>
    </row>
    <row r="98" spans="1:7" x14ac:dyDescent="0.25">
      <c r="A98" s="6">
        <v>1</v>
      </c>
      <c r="B98" s="6">
        <v>16</v>
      </c>
      <c r="C98" s="6">
        <v>0.4</v>
      </c>
      <c r="D98" s="31" t="s">
        <v>19</v>
      </c>
      <c r="E98" s="6">
        <v>0</v>
      </c>
      <c r="F98" s="6">
        <v>0</v>
      </c>
      <c r="G98" s="34">
        <f t="shared" si="8"/>
        <v>0</v>
      </c>
    </row>
    <row r="99" spans="1:7" x14ac:dyDescent="0.25">
      <c r="A99" s="6">
        <v>1</v>
      </c>
      <c r="B99" s="6">
        <v>16</v>
      </c>
      <c r="C99" s="6">
        <v>0.4</v>
      </c>
      <c r="D99" s="31" t="s">
        <v>19</v>
      </c>
      <c r="E99" s="6">
        <v>0</v>
      </c>
      <c r="F99" s="6">
        <v>1</v>
      </c>
      <c r="G99" s="34">
        <f t="shared" si="8"/>
        <v>1</v>
      </c>
    </row>
    <row r="100" spans="1:7" x14ac:dyDescent="0.25">
      <c r="A100" s="6">
        <v>1</v>
      </c>
      <c r="B100" s="6">
        <v>16</v>
      </c>
      <c r="C100" s="6">
        <v>0.4</v>
      </c>
      <c r="D100" s="31" t="s">
        <v>19</v>
      </c>
      <c r="E100" s="6">
        <v>0</v>
      </c>
      <c r="F100" s="6">
        <v>0</v>
      </c>
      <c r="G100" s="34">
        <f t="shared" si="8"/>
        <v>0</v>
      </c>
    </row>
    <row r="101" spans="1:7" x14ac:dyDescent="0.25">
      <c r="A101" s="6">
        <v>1</v>
      </c>
      <c r="B101" s="6">
        <v>16</v>
      </c>
      <c r="C101" s="6">
        <v>0.4</v>
      </c>
      <c r="D101" s="31" t="s">
        <v>19</v>
      </c>
      <c r="E101" s="6">
        <v>0</v>
      </c>
      <c r="F101" s="6">
        <v>0</v>
      </c>
      <c r="G101" s="34">
        <f t="shared" si="8"/>
        <v>0</v>
      </c>
    </row>
    <row r="102" spans="1:7" x14ac:dyDescent="0.25">
      <c r="A102" s="32">
        <v>1</v>
      </c>
      <c r="B102" s="32">
        <v>16</v>
      </c>
      <c r="C102" s="32">
        <v>0.4</v>
      </c>
      <c r="D102" s="33" t="s">
        <v>19</v>
      </c>
      <c r="E102" s="32">
        <v>1</v>
      </c>
      <c r="F102" s="32">
        <v>0</v>
      </c>
      <c r="G102" s="34">
        <f>COUNTIF(F102,0)</f>
        <v>1</v>
      </c>
    </row>
    <row r="103" spans="1:7" x14ac:dyDescent="0.25">
      <c r="A103" s="32">
        <v>1</v>
      </c>
      <c r="B103" s="32">
        <v>16</v>
      </c>
      <c r="C103" s="32">
        <v>0.4</v>
      </c>
      <c r="D103" s="33" t="s">
        <v>19</v>
      </c>
      <c r="E103" s="32">
        <v>1</v>
      </c>
      <c r="F103" s="32">
        <v>1</v>
      </c>
      <c r="G103" s="34">
        <f t="shared" ref="G103:G112" si="9">COUNTIF(F103,0)</f>
        <v>0</v>
      </c>
    </row>
    <row r="104" spans="1:7" x14ac:dyDescent="0.25">
      <c r="A104" s="32">
        <v>1</v>
      </c>
      <c r="B104" s="32">
        <v>16</v>
      </c>
      <c r="C104" s="32">
        <v>0.4</v>
      </c>
      <c r="D104" s="33" t="s">
        <v>19</v>
      </c>
      <c r="E104" s="32">
        <v>1</v>
      </c>
      <c r="F104" s="32">
        <v>1</v>
      </c>
      <c r="G104" s="34">
        <f t="shared" si="9"/>
        <v>0</v>
      </c>
    </row>
    <row r="105" spans="1:7" x14ac:dyDescent="0.25">
      <c r="A105" s="32">
        <v>1</v>
      </c>
      <c r="B105" s="32">
        <v>16</v>
      </c>
      <c r="C105" s="32">
        <v>0.4</v>
      </c>
      <c r="D105" s="33" t="s">
        <v>19</v>
      </c>
      <c r="E105" s="32">
        <v>1</v>
      </c>
      <c r="F105" s="32">
        <v>1</v>
      </c>
      <c r="G105" s="34">
        <f t="shared" si="9"/>
        <v>0</v>
      </c>
    </row>
    <row r="106" spans="1:7" x14ac:dyDescent="0.25">
      <c r="A106" s="32">
        <v>1</v>
      </c>
      <c r="B106" s="32">
        <v>16</v>
      </c>
      <c r="C106" s="32">
        <v>0.4</v>
      </c>
      <c r="D106" s="33" t="s">
        <v>19</v>
      </c>
      <c r="E106" s="32">
        <v>1</v>
      </c>
      <c r="F106" s="32">
        <v>0</v>
      </c>
      <c r="G106" s="34">
        <f t="shared" si="9"/>
        <v>1</v>
      </c>
    </row>
    <row r="107" spans="1:7" x14ac:dyDescent="0.25">
      <c r="A107" s="32">
        <v>1</v>
      </c>
      <c r="B107" s="32">
        <v>16</v>
      </c>
      <c r="C107" s="32">
        <v>0.4</v>
      </c>
      <c r="D107" s="33" t="s">
        <v>19</v>
      </c>
      <c r="E107" s="32">
        <v>1</v>
      </c>
      <c r="F107" s="32">
        <v>1</v>
      </c>
      <c r="G107" s="34">
        <f t="shared" si="9"/>
        <v>0</v>
      </c>
    </row>
    <row r="108" spans="1:7" x14ac:dyDescent="0.25">
      <c r="A108" s="32">
        <v>1</v>
      </c>
      <c r="B108" s="32">
        <v>16</v>
      </c>
      <c r="C108" s="32">
        <v>0.4</v>
      </c>
      <c r="D108" s="33" t="s">
        <v>19</v>
      </c>
      <c r="E108" s="32">
        <v>1</v>
      </c>
      <c r="F108" s="32">
        <v>0</v>
      </c>
      <c r="G108" s="34">
        <f t="shared" si="9"/>
        <v>1</v>
      </c>
    </row>
    <row r="109" spans="1:7" x14ac:dyDescent="0.25">
      <c r="A109" s="32">
        <v>1</v>
      </c>
      <c r="B109" s="32">
        <v>16</v>
      </c>
      <c r="C109" s="32">
        <v>0.4</v>
      </c>
      <c r="D109" s="33" t="s">
        <v>19</v>
      </c>
      <c r="E109" s="32">
        <v>1</v>
      </c>
      <c r="F109" s="32">
        <v>1</v>
      </c>
      <c r="G109" s="34">
        <f t="shared" si="9"/>
        <v>0</v>
      </c>
    </row>
    <row r="110" spans="1:7" x14ac:dyDescent="0.25">
      <c r="A110" s="32">
        <v>1</v>
      </c>
      <c r="B110" s="32">
        <v>16</v>
      </c>
      <c r="C110" s="32">
        <v>0.4</v>
      </c>
      <c r="D110" s="33" t="s">
        <v>19</v>
      </c>
      <c r="E110" s="32">
        <v>1</v>
      </c>
      <c r="F110" s="32">
        <v>1</v>
      </c>
      <c r="G110" s="34">
        <f t="shared" si="9"/>
        <v>0</v>
      </c>
    </row>
    <row r="111" spans="1:7" x14ac:dyDescent="0.25">
      <c r="A111" s="32">
        <v>1</v>
      </c>
      <c r="B111" s="32">
        <v>16</v>
      </c>
      <c r="C111" s="32">
        <v>0.4</v>
      </c>
      <c r="D111" s="33" t="s">
        <v>19</v>
      </c>
      <c r="E111" s="32">
        <v>1</v>
      </c>
      <c r="F111" s="32">
        <v>0</v>
      </c>
      <c r="G111" s="34">
        <f t="shared" si="9"/>
        <v>1</v>
      </c>
    </row>
    <row r="112" spans="1:7" x14ac:dyDescent="0.25">
      <c r="A112" s="32">
        <v>1</v>
      </c>
      <c r="B112" s="32">
        <v>16</v>
      </c>
      <c r="C112" s="32">
        <v>0.4</v>
      </c>
      <c r="D112" s="33" t="s">
        <v>19</v>
      </c>
      <c r="E112" s="32">
        <v>1</v>
      </c>
      <c r="F112" s="32">
        <v>1</v>
      </c>
      <c r="G112" s="34">
        <f t="shared" si="9"/>
        <v>0</v>
      </c>
    </row>
    <row r="113" spans="1:7" x14ac:dyDescent="0.25">
      <c r="A113" s="6">
        <v>1</v>
      </c>
      <c r="B113" s="6">
        <v>16</v>
      </c>
      <c r="C113" s="6">
        <v>0.5</v>
      </c>
      <c r="D113" s="31" t="s">
        <v>19</v>
      </c>
      <c r="E113" s="6">
        <v>0</v>
      </c>
      <c r="F113" s="6">
        <v>1</v>
      </c>
      <c r="G113" s="34">
        <f>COUNTIF(F113,1)</f>
        <v>1</v>
      </c>
    </row>
    <row r="114" spans="1:7" x14ac:dyDescent="0.25">
      <c r="A114" s="6">
        <v>1</v>
      </c>
      <c r="B114" s="6">
        <v>16</v>
      </c>
      <c r="C114" s="6">
        <v>0.5</v>
      </c>
      <c r="D114" s="31" t="s">
        <v>19</v>
      </c>
      <c r="E114" s="6">
        <v>0</v>
      </c>
      <c r="F114" s="6">
        <v>1</v>
      </c>
      <c r="G114" s="34">
        <f t="shared" ref="G114:G123" si="10">COUNTIF(F114,1)</f>
        <v>1</v>
      </c>
    </row>
    <row r="115" spans="1:7" x14ac:dyDescent="0.25">
      <c r="A115" s="6">
        <v>1</v>
      </c>
      <c r="B115" s="6">
        <v>16</v>
      </c>
      <c r="C115" s="6">
        <v>0.5</v>
      </c>
      <c r="D115" s="31" t="s">
        <v>19</v>
      </c>
      <c r="E115" s="6">
        <v>0</v>
      </c>
      <c r="F115" s="6">
        <v>0</v>
      </c>
      <c r="G115" s="34">
        <f t="shared" si="10"/>
        <v>0</v>
      </c>
    </row>
    <row r="116" spans="1:7" x14ac:dyDescent="0.25">
      <c r="A116" s="6">
        <v>1</v>
      </c>
      <c r="B116" s="6">
        <v>16</v>
      </c>
      <c r="C116" s="6">
        <v>0.5</v>
      </c>
      <c r="D116" s="31" t="s">
        <v>19</v>
      </c>
      <c r="E116" s="6">
        <v>0</v>
      </c>
      <c r="F116" s="6">
        <v>1</v>
      </c>
      <c r="G116" s="34">
        <f t="shared" si="10"/>
        <v>1</v>
      </c>
    </row>
    <row r="117" spans="1:7" x14ac:dyDescent="0.25">
      <c r="A117" s="6">
        <v>1</v>
      </c>
      <c r="B117" s="6">
        <v>16</v>
      </c>
      <c r="C117" s="6">
        <v>0.5</v>
      </c>
      <c r="D117" s="31" t="s">
        <v>19</v>
      </c>
      <c r="E117" s="6">
        <v>0</v>
      </c>
      <c r="F117" s="6">
        <v>1</v>
      </c>
      <c r="G117" s="34">
        <f t="shared" si="10"/>
        <v>1</v>
      </c>
    </row>
    <row r="118" spans="1:7" x14ac:dyDescent="0.25">
      <c r="A118" s="6">
        <v>1</v>
      </c>
      <c r="B118" s="6">
        <v>16</v>
      </c>
      <c r="C118" s="6">
        <v>0.5</v>
      </c>
      <c r="D118" s="31" t="s">
        <v>19</v>
      </c>
      <c r="E118" s="6">
        <v>0</v>
      </c>
      <c r="F118" s="6">
        <v>0</v>
      </c>
      <c r="G118" s="34">
        <f t="shared" si="10"/>
        <v>0</v>
      </c>
    </row>
    <row r="119" spans="1:7" x14ac:dyDescent="0.25">
      <c r="A119" s="6">
        <v>1</v>
      </c>
      <c r="B119" s="6">
        <v>16</v>
      </c>
      <c r="C119" s="6">
        <v>0.5</v>
      </c>
      <c r="D119" s="31" t="s">
        <v>19</v>
      </c>
      <c r="E119" s="6">
        <v>0</v>
      </c>
      <c r="F119" s="6">
        <v>1</v>
      </c>
      <c r="G119" s="34">
        <f t="shared" si="10"/>
        <v>1</v>
      </c>
    </row>
    <row r="120" spans="1:7" x14ac:dyDescent="0.25">
      <c r="A120" s="6">
        <v>1</v>
      </c>
      <c r="B120" s="6">
        <v>16</v>
      </c>
      <c r="C120" s="6">
        <v>0.5</v>
      </c>
      <c r="D120" s="31" t="s">
        <v>19</v>
      </c>
      <c r="E120" s="6">
        <v>0</v>
      </c>
      <c r="F120" s="6">
        <v>1</v>
      </c>
      <c r="G120" s="34">
        <f t="shared" si="10"/>
        <v>1</v>
      </c>
    </row>
    <row r="121" spans="1:7" x14ac:dyDescent="0.25">
      <c r="A121" s="6">
        <v>1</v>
      </c>
      <c r="B121" s="6">
        <v>16</v>
      </c>
      <c r="C121" s="6">
        <v>0.5</v>
      </c>
      <c r="D121" s="31" t="s">
        <v>19</v>
      </c>
      <c r="E121" s="6">
        <v>0</v>
      </c>
      <c r="F121" s="6">
        <v>1</v>
      </c>
      <c r="G121" s="34">
        <f t="shared" si="10"/>
        <v>1</v>
      </c>
    </row>
    <row r="122" spans="1:7" x14ac:dyDescent="0.25">
      <c r="A122" s="6">
        <v>1</v>
      </c>
      <c r="B122" s="6">
        <v>16</v>
      </c>
      <c r="C122" s="6">
        <v>0.5</v>
      </c>
      <c r="D122" s="31" t="s">
        <v>19</v>
      </c>
      <c r="E122" s="6">
        <v>0</v>
      </c>
      <c r="F122" s="6">
        <v>0</v>
      </c>
      <c r="G122" s="34">
        <f t="shared" si="10"/>
        <v>0</v>
      </c>
    </row>
    <row r="123" spans="1:7" x14ac:dyDescent="0.25">
      <c r="A123" s="6">
        <v>1</v>
      </c>
      <c r="B123" s="6">
        <v>16</v>
      </c>
      <c r="C123" s="6">
        <v>0.5</v>
      </c>
      <c r="D123" s="31" t="s">
        <v>19</v>
      </c>
      <c r="E123" s="6">
        <v>0</v>
      </c>
      <c r="F123" s="6">
        <v>0</v>
      </c>
      <c r="G123" s="34">
        <f t="shared" si="10"/>
        <v>0</v>
      </c>
    </row>
    <row r="124" spans="1:7" x14ac:dyDescent="0.25">
      <c r="A124" s="32">
        <v>1</v>
      </c>
      <c r="B124" s="32">
        <v>16</v>
      </c>
      <c r="C124" s="32">
        <v>0.5</v>
      </c>
      <c r="D124" s="33" t="s">
        <v>19</v>
      </c>
      <c r="E124" s="32">
        <v>1</v>
      </c>
      <c r="F124" s="32">
        <v>1</v>
      </c>
      <c r="G124" s="34">
        <f>COUNTIF(F124,0)</f>
        <v>0</v>
      </c>
    </row>
    <row r="125" spans="1:7" x14ac:dyDescent="0.25">
      <c r="A125" s="32">
        <v>1</v>
      </c>
      <c r="B125" s="32">
        <v>16</v>
      </c>
      <c r="C125" s="32">
        <v>0.5</v>
      </c>
      <c r="D125" s="33" t="s">
        <v>19</v>
      </c>
      <c r="E125" s="32">
        <v>1</v>
      </c>
      <c r="F125" s="32">
        <v>0</v>
      </c>
      <c r="G125" s="34">
        <f t="shared" ref="G125:G134" si="11">COUNTIF(F125,0)</f>
        <v>1</v>
      </c>
    </row>
    <row r="126" spans="1:7" x14ac:dyDescent="0.25">
      <c r="A126" s="32">
        <v>1</v>
      </c>
      <c r="B126" s="32">
        <v>16</v>
      </c>
      <c r="C126" s="32">
        <v>0.5</v>
      </c>
      <c r="D126" s="33" t="s">
        <v>19</v>
      </c>
      <c r="E126" s="32">
        <v>1</v>
      </c>
      <c r="F126" s="32">
        <v>0</v>
      </c>
      <c r="G126" s="34">
        <f t="shared" si="11"/>
        <v>1</v>
      </c>
    </row>
    <row r="127" spans="1:7" x14ac:dyDescent="0.25">
      <c r="A127" s="32">
        <v>1</v>
      </c>
      <c r="B127" s="32">
        <v>16</v>
      </c>
      <c r="C127" s="32">
        <v>0.5</v>
      </c>
      <c r="D127" s="33" t="s">
        <v>19</v>
      </c>
      <c r="E127" s="32">
        <v>1</v>
      </c>
      <c r="F127" s="32">
        <v>0</v>
      </c>
      <c r="G127" s="34">
        <f t="shared" si="11"/>
        <v>1</v>
      </c>
    </row>
    <row r="128" spans="1:7" x14ac:dyDescent="0.25">
      <c r="A128" s="32">
        <v>1</v>
      </c>
      <c r="B128" s="32">
        <v>16</v>
      </c>
      <c r="C128" s="32">
        <v>0.5</v>
      </c>
      <c r="D128" s="33" t="s">
        <v>19</v>
      </c>
      <c r="E128" s="32">
        <v>1</v>
      </c>
      <c r="F128" s="32">
        <v>1</v>
      </c>
      <c r="G128" s="34">
        <f t="shared" si="11"/>
        <v>0</v>
      </c>
    </row>
    <row r="129" spans="1:7" x14ac:dyDescent="0.25">
      <c r="A129" s="32">
        <v>1</v>
      </c>
      <c r="B129" s="32">
        <v>16</v>
      </c>
      <c r="C129" s="32">
        <v>0.5</v>
      </c>
      <c r="D129" s="33" t="s">
        <v>19</v>
      </c>
      <c r="E129" s="32">
        <v>1</v>
      </c>
      <c r="F129" s="32">
        <v>0</v>
      </c>
      <c r="G129" s="34">
        <f t="shared" si="11"/>
        <v>1</v>
      </c>
    </row>
    <row r="130" spans="1:7" x14ac:dyDescent="0.25">
      <c r="A130" s="32">
        <v>1</v>
      </c>
      <c r="B130" s="32">
        <v>16</v>
      </c>
      <c r="C130" s="32">
        <v>0.5</v>
      </c>
      <c r="D130" s="33" t="s">
        <v>19</v>
      </c>
      <c r="E130" s="32">
        <v>1</v>
      </c>
      <c r="F130" s="32">
        <v>1</v>
      </c>
      <c r="G130" s="34">
        <f t="shared" si="11"/>
        <v>0</v>
      </c>
    </row>
    <row r="131" spans="1:7" x14ac:dyDescent="0.25">
      <c r="A131" s="32">
        <v>1</v>
      </c>
      <c r="B131" s="32">
        <v>16</v>
      </c>
      <c r="C131" s="32">
        <v>0.5</v>
      </c>
      <c r="D131" s="33" t="s">
        <v>19</v>
      </c>
      <c r="E131" s="32">
        <v>1</v>
      </c>
      <c r="F131" s="32">
        <v>0</v>
      </c>
      <c r="G131" s="34">
        <f t="shared" si="11"/>
        <v>1</v>
      </c>
    </row>
    <row r="132" spans="1:7" x14ac:dyDescent="0.25">
      <c r="A132" s="32">
        <v>1</v>
      </c>
      <c r="B132" s="32">
        <v>16</v>
      </c>
      <c r="C132" s="32">
        <v>0.5</v>
      </c>
      <c r="D132" s="33" t="s">
        <v>19</v>
      </c>
      <c r="E132" s="32">
        <v>1</v>
      </c>
      <c r="F132" s="32">
        <v>0</v>
      </c>
      <c r="G132" s="34">
        <f t="shared" si="11"/>
        <v>1</v>
      </c>
    </row>
    <row r="133" spans="1:7" x14ac:dyDescent="0.25">
      <c r="A133" s="32">
        <v>1</v>
      </c>
      <c r="B133" s="32">
        <v>16</v>
      </c>
      <c r="C133" s="32">
        <v>0.5</v>
      </c>
      <c r="D133" s="33" t="s">
        <v>19</v>
      </c>
      <c r="E133" s="32">
        <v>1</v>
      </c>
      <c r="F133" s="32">
        <v>1</v>
      </c>
      <c r="G133" s="34">
        <f t="shared" si="11"/>
        <v>0</v>
      </c>
    </row>
    <row r="134" spans="1:7" x14ac:dyDescent="0.25">
      <c r="A134" s="32">
        <v>1</v>
      </c>
      <c r="B134" s="32">
        <v>16</v>
      </c>
      <c r="C134" s="32">
        <v>0.5</v>
      </c>
      <c r="D134" s="33" t="s">
        <v>19</v>
      </c>
      <c r="E134" s="32">
        <v>1</v>
      </c>
      <c r="F134" s="32">
        <v>1</v>
      </c>
      <c r="G134" s="34">
        <f t="shared" si="11"/>
        <v>0</v>
      </c>
    </row>
    <row r="135" spans="1:7" x14ac:dyDescent="0.25">
      <c r="D135" s="12"/>
    </row>
    <row r="136" spans="1:7" x14ac:dyDescent="0.25">
      <c r="D136" s="12"/>
    </row>
    <row r="137" spans="1:7" x14ac:dyDescent="0.25">
      <c r="D137" s="12"/>
    </row>
    <row r="138" spans="1:7" x14ac:dyDescent="0.25">
      <c r="D138" s="12"/>
    </row>
    <row r="139" spans="1:7" x14ac:dyDescent="0.25">
      <c r="D139" s="12"/>
    </row>
    <row r="140" spans="1:7" x14ac:dyDescent="0.25">
      <c r="D140" s="12"/>
    </row>
    <row r="141" spans="1:7" x14ac:dyDescent="0.25">
      <c r="D141" s="12"/>
    </row>
    <row r="142" spans="1:7" x14ac:dyDescent="0.25">
      <c r="D142" s="12"/>
    </row>
    <row r="143" spans="1:7" x14ac:dyDescent="0.25">
      <c r="D143" s="12"/>
    </row>
    <row r="144" spans="1:7" x14ac:dyDescent="0.25">
      <c r="D144" s="12"/>
    </row>
    <row r="145" spans="4:4" x14ac:dyDescent="0.25">
      <c r="D145" s="12"/>
    </row>
    <row r="146" spans="4:4" x14ac:dyDescent="0.25">
      <c r="D146" s="12"/>
    </row>
    <row r="147" spans="4:4" x14ac:dyDescent="0.25">
      <c r="D147" s="12"/>
    </row>
    <row r="148" spans="4:4" x14ac:dyDescent="0.25">
      <c r="D148" s="12"/>
    </row>
    <row r="149" spans="4:4" x14ac:dyDescent="0.25">
      <c r="D149" s="12"/>
    </row>
    <row r="150" spans="4:4" x14ac:dyDescent="0.25">
      <c r="D150" s="12"/>
    </row>
    <row r="151" spans="4:4" x14ac:dyDescent="0.25">
      <c r="D151" s="12"/>
    </row>
    <row r="152" spans="4:4" x14ac:dyDescent="0.25">
      <c r="D152" s="12"/>
    </row>
    <row r="153" spans="4:4" x14ac:dyDescent="0.25">
      <c r="D153" s="12"/>
    </row>
    <row r="154" spans="4:4" x14ac:dyDescent="0.25">
      <c r="D154" s="12"/>
    </row>
    <row r="155" spans="4:4" x14ac:dyDescent="0.25">
      <c r="D155" s="12"/>
    </row>
    <row r="156" spans="4:4" x14ac:dyDescent="0.25">
      <c r="D156" s="12"/>
    </row>
    <row r="157" spans="4:4" x14ac:dyDescent="0.25">
      <c r="D157" s="12"/>
    </row>
    <row r="158" spans="4:4" x14ac:dyDescent="0.25">
      <c r="D158" s="12"/>
    </row>
    <row r="159" spans="4:4" x14ac:dyDescent="0.25">
      <c r="D159" s="12"/>
    </row>
    <row r="160" spans="4:4" x14ac:dyDescent="0.25">
      <c r="D160" s="12"/>
    </row>
    <row r="161" spans="4:4" x14ac:dyDescent="0.25">
      <c r="D161" s="12"/>
    </row>
    <row r="162" spans="4:4" x14ac:dyDescent="0.25">
      <c r="D162" s="12"/>
    </row>
    <row r="163" spans="4:4" x14ac:dyDescent="0.25">
      <c r="D163" s="12"/>
    </row>
    <row r="164" spans="4:4" x14ac:dyDescent="0.25">
      <c r="D164" s="12"/>
    </row>
    <row r="165" spans="4:4" x14ac:dyDescent="0.25">
      <c r="D165" s="12"/>
    </row>
    <row r="166" spans="4:4" x14ac:dyDescent="0.25">
      <c r="D166" s="12"/>
    </row>
    <row r="167" spans="4:4" x14ac:dyDescent="0.25">
      <c r="D167" s="12"/>
    </row>
    <row r="168" spans="4:4" x14ac:dyDescent="0.25">
      <c r="D168" s="12"/>
    </row>
    <row r="169" spans="4:4" x14ac:dyDescent="0.25">
      <c r="D169" s="12"/>
    </row>
    <row r="170" spans="4:4" x14ac:dyDescent="0.25">
      <c r="D170" s="12"/>
    </row>
    <row r="171" spans="4:4" x14ac:dyDescent="0.25">
      <c r="D171" s="12"/>
    </row>
    <row r="172" spans="4:4" x14ac:dyDescent="0.25">
      <c r="D172" s="12"/>
    </row>
    <row r="173" spans="4:4" x14ac:dyDescent="0.25">
      <c r="D173" s="12"/>
    </row>
    <row r="174" spans="4:4" x14ac:dyDescent="0.25">
      <c r="D174" s="12"/>
    </row>
    <row r="175" spans="4:4" x14ac:dyDescent="0.25">
      <c r="D175" s="12"/>
    </row>
    <row r="176" spans="4:4" x14ac:dyDescent="0.25">
      <c r="D176" s="12"/>
    </row>
    <row r="177" spans="4:4" x14ac:dyDescent="0.25">
      <c r="D177" s="12"/>
    </row>
    <row r="178" spans="4:4" x14ac:dyDescent="0.25">
      <c r="D178" s="12"/>
    </row>
    <row r="179" spans="4:4" x14ac:dyDescent="0.25">
      <c r="D179" s="12"/>
    </row>
    <row r="180" spans="4:4" x14ac:dyDescent="0.25">
      <c r="D180" s="12"/>
    </row>
    <row r="181" spans="4:4" x14ac:dyDescent="0.25">
      <c r="D181" s="12"/>
    </row>
    <row r="182" spans="4:4" x14ac:dyDescent="0.25">
      <c r="D182" s="12"/>
    </row>
    <row r="183" spans="4:4" x14ac:dyDescent="0.25">
      <c r="D183" s="12"/>
    </row>
    <row r="184" spans="4:4" x14ac:dyDescent="0.25">
      <c r="D184" s="12"/>
    </row>
    <row r="185" spans="4:4" x14ac:dyDescent="0.25">
      <c r="D185" s="12"/>
    </row>
    <row r="186" spans="4:4" x14ac:dyDescent="0.25">
      <c r="D186" s="12"/>
    </row>
    <row r="187" spans="4:4" x14ac:dyDescent="0.25">
      <c r="D187" s="12"/>
    </row>
    <row r="188" spans="4:4" x14ac:dyDescent="0.25">
      <c r="D188" s="12"/>
    </row>
    <row r="189" spans="4:4" x14ac:dyDescent="0.25">
      <c r="D189" s="12"/>
    </row>
    <row r="190" spans="4:4" x14ac:dyDescent="0.25">
      <c r="D190" s="12"/>
    </row>
    <row r="191" spans="4:4" x14ac:dyDescent="0.25">
      <c r="D191" s="12"/>
    </row>
    <row r="192" spans="4:4" x14ac:dyDescent="0.25">
      <c r="D192" s="12"/>
    </row>
    <row r="193" spans="4:4" x14ac:dyDescent="0.25">
      <c r="D193" s="12"/>
    </row>
    <row r="194" spans="4:4" x14ac:dyDescent="0.25">
      <c r="D194" s="12"/>
    </row>
    <row r="195" spans="4:4" x14ac:dyDescent="0.25">
      <c r="D195" s="12"/>
    </row>
    <row r="196" spans="4:4" x14ac:dyDescent="0.25">
      <c r="D196" s="12"/>
    </row>
    <row r="197" spans="4:4" x14ac:dyDescent="0.25">
      <c r="D197" s="12"/>
    </row>
    <row r="198" spans="4:4" x14ac:dyDescent="0.25">
      <c r="D198" s="12"/>
    </row>
    <row r="199" spans="4:4" x14ac:dyDescent="0.25">
      <c r="D199" s="12"/>
    </row>
    <row r="200" spans="4:4" x14ac:dyDescent="0.25">
      <c r="D200" s="12"/>
    </row>
    <row r="201" spans="4:4" x14ac:dyDescent="0.25">
      <c r="D201" s="12"/>
    </row>
    <row r="202" spans="4:4" x14ac:dyDescent="0.25">
      <c r="D202" s="12"/>
    </row>
    <row r="203" spans="4:4" x14ac:dyDescent="0.25">
      <c r="D203" s="12"/>
    </row>
    <row r="204" spans="4:4" x14ac:dyDescent="0.25">
      <c r="D204" s="12"/>
    </row>
    <row r="205" spans="4:4" x14ac:dyDescent="0.25">
      <c r="D205" s="12"/>
    </row>
    <row r="206" spans="4:4" x14ac:dyDescent="0.25">
      <c r="D206" s="12"/>
    </row>
    <row r="207" spans="4:4" x14ac:dyDescent="0.25">
      <c r="D207" s="12"/>
    </row>
    <row r="208" spans="4:4" x14ac:dyDescent="0.25">
      <c r="D208" s="12"/>
    </row>
    <row r="209" spans="4:4" x14ac:dyDescent="0.25">
      <c r="D209" s="12"/>
    </row>
    <row r="210" spans="4:4" x14ac:dyDescent="0.25">
      <c r="D210" s="12"/>
    </row>
    <row r="211" spans="4:4" x14ac:dyDescent="0.25">
      <c r="D211" s="12"/>
    </row>
    <row r="212" spans="4:4" x14ac:dyDescent="0.25">
      <c r="D212" s="12"/>
    </row>
    <row r="213" spans="4:4" x14ac:dyDescent="0.25">
      <c r="D213" s="12"/>
    </row>
    <row r="214" spans="4:4" x14ac:dyDescent="0.25">
      <c r="D214" s="12"/>
    </row>
    <row r="215" spans="4:4" x14ac:dyDescent="0.25">
      <c r="D215" s="12"/>
    </row>
    <row r="216" spans="4:4" x14ac:dyDescent="0.25">
      <c r="D216" s="12"/>
    </row>
    <row r="217" spans="4:4" x14ac:dyDescent="0.25">
      <c r="D217" s="12"/>
    </row>
    <row r="218" spans="4:4" x14ac:dyDescent="0.25">
      <c r="D218" s="12"/>
    </row>
    <row r="219" spans="4:4" x14ac:dyDescent="0.25">
      <c r="D219" s="12"/>
    </row>
    <row r="220" spans="4:4" x14ac:dyDescent="0.25">
      <c r="D220" s="12"/>
    </row>
    <row r="221" spans="4:4" x14ac:dyDescent="0.25">
      <c r="D221" s="12"/>
    </row>
    <row r="222" spans="4:4" x14ac:dyDescent="0.25">
      <c r="D222" s="12"/>
    </row>
    <row r="223" spans="4:4" x14ac:dyDescent="0.25">
      <c r="D223" s="12"/>
    </row>
    <row r="224" spans="4:4" x14ac:dyDescent="0.25">
      <c r="D224" s="12"/>
    </row>
    <row r="225" spans="4:4" x14ac:dyDescent="0.25">
      <c r="D225" s="12"/>
    </row>
    <row r="226" spans="4:4" x14ac:dyDescent="0.25">
      <c r="D226" s="12"/>
    </row>
    <row r="227" spans="4:4" x14ac:dyDescent="0.25">
      <c r="D227" s="12"/>
    </row>
    <row r="228" spans="4:4" x14ac:dyDescent="0.25">
      <c r="D228" s="12"/>
    </row>
    <row r="229" spans="4:4" x14ac:dyDescent="0.25">
      <c r="D229" s="12"/>
    </row>
    <row r="230" spans="4:4" x14ac:dyDescent="0.25">
      <c r="D230" s="12"/>
    </row>
    <row r="231" spans="4:4" x14ac:dyDescent="0.25">
      <c r="D231" s="12"/>
    </row>
    <row r="232" spans="4:4" x14ac:dyDescent="0.25">
      <c r="D232" s="12"/>
    </row>
    <row r="233" spans="4:4" x14ac:dyDescent="0.25">
      <c r="D233" s="12"/>
    </row>
    <row r="234" spans="4:4" x14ac:dyDescent="0.25">
      <c r="D234" s="12"/>
    </row>
    <row r="235" spans="4:4" x14ac:dyDescent="0.25">
      <c r="D235" s="12"/>
    </row>
    <row r="236" spans="4:4" x14ac:dyDescent="0.25">
      <c r="D236" s="12"/>
    </row>
    <row r="237" spans="4:4" x14ac:dyDescent="0.25">
      <c r="D237" s="12"/>
    </row>
    <row r="238" spans="4:4" x14ac:dyDescent="0.25">
      <c r="D238" s="12"/>
    </row>
    <row r="239" spans="4:4" x14ac:dyDescent="0.25">
      <c r="D239" s="12"/>
    </row>
    <row r="240" spans="4:4" x14ac:dyDescent="0.25">
      <c r="D240" s="12"/>
    </row>
    <row r="241" spans="4:4" x14ac:dyDescent="0.25">
      <c r="D241" s="12"/>
    </row>
    <row r="242" spans="4:4" x14ac:dyDescent="0.25">
      <c r="D242" s="12"/>
    </row>
    <row r="243" spans="4:4" x14ac:dyDescent="0.25">
      <c r="D243" s="12"/>
    </row>
    <row r="244" spans="4:4" x14ac:dyDescent="0.25">
      <c r="D244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9B65-9E43-40EC-A00E-E96A0451567B}">
  <dimension ref="A1:K244"/>
  <sheetViews>
    <sheetView topLeftCell="D2" zoomScale="130" zoomScaleNormal="130" workbookViewId="0">
      <selection activeCell="O7" sqref="O7"/>
    </sheetView>
  </sheetViews>
  <sheetFormatPr defaultRowHeight="15" x14ac:dyDescent="0.25"/>
  <cols>
    <col min="4" max="4" width="14.28515625" customWidth="1"/>
    <col min="5" max="6" width="20.85546875" customWidth="1"/>
    <col min="11" max="11" width="15.28515625" customWidth="1"/>
  </cols>
  <sheetData>
    <row r="1" spans="1:11" x14ac:dyDescent="0.25">
      <c r="A1" t="s">
        <v>54</v>
      </c>
      <c r="J1" t="s">
        <v>59</v>
      </c>
    </row>
    <row r="2" spans="1:11" ht="45" x14ac:dyDescent="0.25">
      <c r="A2" s="29" t="s">
        <v>1</v>
      </c>
      <c r="B2" s="29" t="s">
        <v>2</v>
      </c>
      <c r="C2" s="29" t="s">
        <v>56</v>
      </c>
      <c r="D2" s="35" t="s">
        <v>61</v>
      </c>
      <c r="E2" s="29" t="s">
        <v>55</v>
      </c>
      <c r="F2" s="29" t="s">
        <v>57</v>
      </c>
      <c r="G2" s="34" t="s">
        <v>58</v>
      </c>
      <c r="J2" s="1" t="s">
        <v>56</v>
      </c>
      <c r="K2" s="1" t="s">
        <v>60</v>
      </c>
    </row>
    <row r="3" spans="1:11" x14ac:dyDescent="0.25">
      <c r="A3" s="6">
        <v>4</v>
      </c>
      <c r="B3" s="6">
        <v>16</v>
      </c>
      <c r="C3" s="6">
        <v>0</v>
      </c>
      <c r="D3" s="31"/>
      <c r="E3" s="36" t="s">
        <v>42</v>
      </c>
      <c r="F3" s="36" t="s">
        <v>42</v>
      </c>
      <c r="G3" s="34" cm="1">
        <f t="array" ref="G3">SUM(--(MID(E3,_xlfn.SEQUENCE(LEN(E3)),1)&lt;&gt;MID(F3,_xlfn.SEQUENCE(LEN(F3)),1)))</f>
        <v>0</v>
      </c>
      <c r="J3" s="1">
        <v>0</v>
      </c>
      <c r="K3" s="1">
        <f>AVERAGE(G3:G24)</f>
        <v>0</v>
      </c>
    </row>
    <row r="4" spans="1:11" x14ac:dyDescent="0.25">
      <c r="A4" s="6">
        <v>4</v>
      </c>
      <c r="B4" s="6">
        <v>16</v>
      </c>
      <c r="C4" s="6">
        <v>0</v>
      </c>
      <c r="D4" s="31"/>
      <c r="E4" s="36" t="s">
        <v>42</v>
      </c>
      <c r="F4" s="36" t="s">
        <v>42</v>
      </c>
      <c r="G4" s="34" cm="1">
        <f t="array" ref="G4">SUM(--(MID(E4,_xlfn.SEQUENCE(LEN(E4)),1)&lt;&gt;MID(F4,_xlfn.SEQUENCE(LEN(F4)),1)))</f>
        <v>0</v>
      </c>
      <c r="J4" s="1">
        <v>0.1</v>
      </c>
      <c r="K4" s="1">
        <f>AVERAGE(G25:G46)</f>
        <v>0</v>
      </c>
    </row>
    <row r="5" spans="1:11" x14ac:dyDescent="0.25">
      <c r="A5" s="6">
        <v>4</v>
      </c>
      <c r="B5" s="6">
        <v>16</v>
      </c>
      <c r="C5" s="6">
        <v>0</v>
      </c>
      <c r="D5" s="31"/>
      <c r="E5" s="36" t="s">
        <v>42</v>
      </c>
      <c r="F5" s="36" t="s">
        <v>42</v>
      </c>
      <c r="G5" s="34" cm="1">
        <f t="array" ref="G5">SUM(--(MID(E5,_xlfn.SEQUENCE(LEN(E5)),1)&lt;&gt;MID(F5,_xlfn.SEQUENCE(LEN(F5)),1)))</f>
        <v>0</v>
      </c>
      <c r="J5" s="1">
        <v>0.2</v>
      </c>
      <c r="K5" s="1">
        <f>AVERAGE(G47:G68)</f>
        <v>0.31818181818181818</v>
      </c>
    </row>
    <row r="6" spans="1:11" x14ac:dyDescent="0.25">
      <c r="A6" s="6">
        <v>4</v>
      </c>
      <c r="B6" s="6">
        <v>16</v>
      </c>
      <c r="C6" s="6">
        <v>0</v>
      </c>
      <c r="D6" s="31"/>
      <c r="E6" s="36" t="s">
        <v>42</v>
      </c>
      <c r="F6" s="36" t="s">
        <v>42</v>
      </c>
      <c r="G6" s="34" cm="1">
        <f t="array" ref="G6">SUM(--(MID(E6,_xlfn.SEQUENCE(LEN(E6)),1)&lt;&gt;MID(F6,_xlfn.SEQUENCE(LEN(F6)),1)))</f>
        <v>0</v>
      </c>
      <c r="J6" s="1">
        <v>0.3</v>
      </c>
      <c r="K6" s="1">
        <f>AVERAGE(G69:G90)</f>
        <v>1</v>
      </c>
    </row>
    <row r="7" spans="1:11" x14ac:dyDescent="0.25">
      <c r="A7" s="6">
        <v>4</v>
      </c>
      <c r="B7" s="6">
        <v>16</v>
      </c>
      <c r="C7" s="6">
        <v>0</v>
      </c>
      <c r="D7" s="31"/>
      <c r="E7" s="36" t="s">
        <v>42</v>
      </c>
      <c r="F7" s="36" t="s">
        <v>42</v>
      </c>
      <c r="G7" s="34" cm="1">
        <f t="array" ref="G7">SUM(--(MID(E7,_xlfn.SEQUENCE(LEN(E7)),1)&lt;&gt;MID(F7,_xlfn.SEQUENCE(LEN(F7)),1)))</f>
        <v>0</v>
      </c>
      <c r="J7" s="1">
        <v>0.4</v>
      </c>
      <c r="K7" s="1">
        <f>AVERAGE(G91:G112)</f>
        <v>1.0909090909090908</v>
      </c>
    </row>
    <row r="8" spans="1:11" x14ac:dyDescent="0.25">
      <c r="A8" s="6">
        <v>4</v>
      </c>
      <c r="B8" s="6">
        <v>16</v>
      </c>
      <c r="C8" s="6">
        <v>0</v>
      </c>
      <c r="D8" s="31"/>
      <c r="E8" s="36" t="s">
        <v>42</v>
      </c>
      <c r="F8" s="36" t="s">
        <v>42</v>
      </c>
      <c r="G8" s="34" cm="1">
        <f t="array" ref="G8">SUM(--(MID(E8,_xlfn.SEQUENCE(LEN(E8)),1)&lt;&gt;MID(F8,_xlfn.SEQUENCE(LEN(F8)),1)))</f>
        <v>0</v>
      </c>
      <c r="J8" s="1">
        <v>0.5</v>
      </c>
      <c r="K8" s="1">
        <f>AVERAGE(G113:G134)</f>
        <v>2.0454545454545454</v>
      </c>
    </row>
    <row r="9" spans="1:11" x14ac:dyDescent="0.25">
      <c r="A9" s="6">
        <v>4</v>
      </c>
      <c r="B9" s="6">
        <v>16</v>
      </c>
      <c r="C9" s="6">
        <v>0</v>
      </c>
      <c r="D9" s="31"/>
      <c r="E9" s="36" t="s">
        <v>42</v>
      </c>
      <c r="F9" s="36" t="s">
        <v>42</v>
      </c>
      <c r="G9" s="34" cm="1">
        <f t="array" ref="G9">SUM(--(MID(E9,_xlfn.SEQUENCE(LEN(E9)),1)&lt;&gt;MID(F9,_xlfn.SEQUENCE(LEN(F9)),1)))</f>
        <v>0</v>
      </c>
    </row>
    <row r="10" spans="1:11" x14ac:dyDescent="0.25">
      <c r="A10" s="6">
        <v>4</v>
      </c>
      <c r="B10" s="6">
        <v>16</v>
      </c>
      <c r="C10" s="6">
        <v>0</v>
      </c>
      <c r="D10" s="31"/>
      <c r="E10" s="36" t="s">
        <v>42</v>
      </c>
      <c r="F10" s="36" t="s">
        <v>42</v>
      </c>
      <c r="G10" s="34" cm="1">
        <f t="array" ref="G10">SUM(--(MID(E10,_xlfn.SEQUENCE(LEN(E10)),1)&lt;&gt;MID(F10,_xlfn.SEQUENCE(LEN(F10)),1)))</f>
        <v>0</v>
      </c>
    </row>
    <row r="11" spans="1:11" x14ac:dyDescent="0.25">
      <c r="A11" s="6">
        <v>4</v>
      </c>
      <c r="B11" s="6">
        <v>16</v>
      </c>
      <c r="C11" s="6">
        <v>0</v>
      </c>
      <c r="D11" s="31"/>
      <c r="E11" s="36" t="s">
        <v>42</v>
      </c>
      <c r="F11" s="36" t="s">
        <v>42</v>
      </c>
      <c r="G11" s="34" cm="1">
        <f t="array" ref="G11">SUM(--(MID(E11,_xlfn.SEQUENCE(LEN(E11)),1)&lt;&gt;MID(F11,_xlfn.SEQUENCE(LEN(F11)),1)))</f>
        <v>0</v>
      </c>
    </row>
    <row r="12" spans="1:11" x14ac:dyDescent="0.25">
      <c r="A12" s="6">
        <v>4</v>
      </c>
      <c r="B12" s="6">
        <v>16</v>
      </c>
      <c r="C12" s="6">
        <v>0</v>
      </c>
      <c r="D12" s="31"/>
      <c r="E12" s="36" t="s">
        <v>42</v>
      </c>
      <c r="F12" s="36" t="s">
        <v>42</v>
      </c>
      <c r="G12" s="34" cm="1">
        <f t="array" ref="G12">SUM(--(MID(E12,_xlfn.SEQUENCE(LEN(E12)),1)&lt;&gt;MID(F12,_xlfn.SEQUENCE(LEN(F12)),1)))</f>
        <v>0</v>
      </c>
    </row>
    <row r="13" spans="1:11" x14ac:dyDescent="0.25">
      <c r="A13" s="6">
        <v>4</v>
      </c>
      <c r="B13" s="6">
        <v>16</v>
      </c>
      <c r="C13" s="6">
        <v>0</v>
      </c>
      <c r="D13" s="31"/>
      <c r="E13" s="36" t="s">
        <v>42</v>
      </c>
      <c r="F13" s="36" t="s">
        <v>42</v>
      </c>
      <c r="G13" s="34" cm="1">
        <f t="array" ref="G13">SUM(--(MID(E13,_xlfn.SEQUENCE(LEN(E13)),1)&lt;&gt;MID(F13,_xlfn.SEQUENCE(LEN(F13)),1)))</f>
        <v>0</v>
      </c>
    </row>
    <row r="14" spans="1:11" x14ac:dyDescent="0.25">
      <c r="A14" s="32">
        <v>4</v>
      </c>
      <c r="B14" s="32">
        <v>16</v>
      </c>
      <c r="C14" s="32">
        <v>0</v>
      </c>
      <c r="D14" s="33"/>
      <c r="E14" s="32">
        <v>1111</v>
      </c>
      <c r="F14" s="37" t="s">
        <v>44</v>
      </c>
      <c r="G14" s="34" cm="1">
        <f t="array" ref="G14">SUM(--(MID(E14,_xlfn.SEQUENCE(LEN(E14)),1)&lt;&gt;MID(F14,_xlfn.SEQUENCE(LEN(F14)),1)))</f>
        <v>0</v>
      </c>
    </row>
    <row r="15" spans="1:11" x14ac:dyDescent="0.25">
      <c r="A15" s="32">
        <v>4</v>
      </c>
      <c r="B15" s="32">
        <v>16</v>
      </c>
      <c r="C15" s="32">
        <v>0</v>
      </c>
      <c r="D15" s="33"/>
      <c r="E15" s="32">
        <v>1111</v>
      </c>
      <c r="F15" s="37" t="s">
        <v>44</v>
      </c>
      <c r="G15" s="34" cm="1">
        <f t="array" ref="G15">SUM(--(MID(E15,_xlfn.SEQUENCE(LEN(E15)),1)&lt;&gt;MID(F15,_xlfn.SEQUENCE(LEN(F15)),1)))</f>
        <v>0</v>
      </c>
    </row>
    <row r="16" spans="1:11" x14ac:dyDescent="0.25">
      <c r="A16" s="32">
        <v>4</v>
      </c>
      <c r="B16" s="32">
        <v>16</v>
      </c>
      <c r="C16" s="32">
        <v>0</v>
      </c>
      <c r="D16" s="33"/>
      <c r="E16" s="32">
        <v>1111</v>
      </c>
      <c r="F16" s="37" t="s">
        <v>44</v>
      </c>
      <c r="G16" s="34" cm="1">
        <f t="array" ref="G16">SUM(--(MID(E16,_xlfn.SEQUENCE(LEN(E16)),1)&lt;&gt;MID(F16,_xlfn.SEQUENCE(LEN(F16)),1)))</f>
        <v>0</v>
      </c>
    </row>
    <row r="17" spans="1:7" x14ac:dyDescent="0.25">
      <c r="A17" s="32">
        <v>4</v>
      </c>
      <c r="B17" s="32">
        <v>16</v>
      </c>
      <c r="C17" s="32">
        <v>0</v>
      </c>
      <c r="D17" s="33"/>
      <c r="E17" s="32">
        <v>1111</v>
      </c>
      <c r="F17" s="37" t="s">
        <v>44</v>
      </c>
      <c r="G17" s="34" cm="1">
        <f t="array" ref="G17">SUM(--(MID(E17,_xlfn.SEQUENCE(LEN(E17)),1)&lt;&gt;MID(F17,_xlfn.SEQUENCE(LEN(F17)),1)))</f>
        <v>0</v>
      </c>
    </row>
    <row r="18" spans="1:7" x14ac:dyDescent="0.25">
      <c r="A18" s="32">
        <v>4</v>
      </c>
      <c r="B18" s="32">
        <v>16</v>
      </c>
      <c r="C18" s="32">
        <v>0</v>
      </c>
      <c r="D18" s="33"/>
      <c r="E18" s="32">
        <v>1111</v>
      </c>
      <c r="F18" s="37" t="s">
        <v>44</v>
      </c>
      <c r="G18" s="34" cm="1">
        <f t="array" ref="G18">SUM(--(MID(E18,_xlfn.SEQUENCE(LEN(E18)),1)&lt;&gt;MID(F18,_xlfn.SEQUENCE(LEN(F18)),1)))</f>
        <v>0</v>
      </c>
    </row>
    <row r="19" spans="1:7" x14ac:dyDescent="0.25">
      <c r="A19" s="32">
        <v>4</v>
      </c>
      <c r="B19" s="32">
        <v>16</v>
      </c>
      <c r="C19" s="32">
        <v>0</v>
      </c>
      <c r="D19" s="33"/>
      <c r="E19" s="32">
        <v>1111</v>
      </c>
      <c r="F19" s="37" t="s">
        <v>44</v>
      </c>
      <c r="G19" s="34" cm="1">
        <f t="array" ref="G19">SUM(--(MID(E19,_xlfn.SEQUENCE(LEN(E19)),1)&lt;&gt;MID(F19,_xlfn.SEQUENCE(LEN(F19)),1)))</f>
        <v>0</v>
      </c>
    </row>
    <row r="20" spans="1:7" x14ac:dyDescent="0.25">
      <c r="A20" s="32">
        <v>4</v>
      </c>
      <c r="B20" s="32">
        <v>16</v>
      </c>
      <c r="C20" s="32">
        <v>0</v>
      </c>
      <c r="D20" s="33"/>
      <c r="E20" s="32">
        <v>1111</v>
      </c>
      <c r="F20" s="37" t="s">
        <v>44</v>
      </c>
      <c r="G20" s="34" cm="1">
        <f t="array" ref="G20">SUM(--(MID(E20,_xlfn.SEQUENCE(LEN(E20)),1)&lt;&gt;MID(F20,_xlfn.SEQUENCE(LEN(F20)),1)))</f>
        <v>0</v>
      </c>
    </row>
    <row r="21" spans="1:7" x14ac:dyDescent="0.25">
      <c r="A21" s="32">
        <v>4</v>
      </c>
      <c r="B21" s="32">
        <v>16</v>
      </c>
      <c r="C21" s="32">
        <v>0</v>
      </c>
      <c r="D21" s="33"/>
      <c r="E21" s="32">
        <v>1111</v>
      </c>
      <c r="F21" s="37" t="s">
        <v>44</v>
      </c>
      <c r="G21" s="34" cm="1">
        <f t="array" ref="G21">SUM(--(MID(E21,_xlfn.SEQUENCE(LEN(E21)),1)&lt;&gt;MID(F21,_xlfn.SEQUENCE(LEN(F21)),1)))</f>
        <v>0</v>
      </c>
    </row>
    <row r="22" spans="1:7" x14ac:dyDescent="0.25">
      <c r="A22" s="32">
        <v>4</v>
      </c>
      <c r="B22" s="32">
        <v>16</v>
      </c>
      <c r="C22" s="32">
        <v>0</v>
      </c>
      <c r="D22" s="33"/>
      <c r="E22" s="32">
        <v>1111</v>
      </c>
      <c r="F22" s="37" t="s">
        <v>44</v>
      </c>
      <c r="G22" s="34" cm="1">
        <f t="array" ref="G22">SUM(--(MID(E22,_xlfn.SEQUENCE(LEN(E22)),1)&lt;&gt;MID(F22,_xlfn.SEQUENCE(LEN(F22)),1)))</f>
        <v>0</v>
      </c>
    </row>
    <row r="23" spans="1:7" x14ac:dyDescent="0.25">
      <c r="A23" s="32">
        <v>4</v>
      </c>
      <c r="B23" s="32">
        <v>16</v>
      </c>
      <c r="C23" s="32">
        <v>0</v>
      </c>
      <c r="D23" s="33"/>
      <c r="E23" s="32">
        <v>1111</v>
      </c>
      <c r="F23" s="37" t="s">
        <v>44</v>
      </c>
      <c r="G23" s="34" cm="1">
        <f t="array" ref="G23">SUM(--(MID(E23,_xlfn.SEQUENCE(LEN(E23)),1)&lt;&gt;MID(F23,_xlfn.SEQUENCE(LEN(F23)),1)))</f>
        <v>0</v>
      </c>
    </row>
    <row r="24" spans="1:7" x14ac:dyDescent="0.25">
      <c r="A24" s="32">
        <v>4</v>
      </c>
      <c r="B24" s="32">
        <v>16</v>
      </c>
      <c r="C24" s="32">
        <v>0</v>
      </c>
      <c r="D24" s="33"/>
      <c r="E24" s="32">
        <v>1111</v>
      </c>
      <c r="F24" s="37" t="s">
        <v>44</v>
      </c>
      <c r="G24" s="34" cm="1">
        <f t="array" ref="G24">SUM(--(MID(E24,_xlfn.SEQUENCE(LEN(E24)),1)&lt;&gt;MID(F24,_xlfn.SEQUENCE(LEN(F24)),1)))</f>
        <v>0</v>
      </c>
    </row>
    <row r="25" spans="1:7" x14ac:dyDescent="0.25">
      <c r="A25" s="6">
        <v>4</v>
      </c>
      <c r="B25" s="6">
        <v>16</v>
      </c>
      <c r="C25" s="6">
        <v>0.1</v>
      </c>
      <c r="D25" s="31"/>
      <c r="E25" s="36" t="s">
        <v>42</v>
      </c>
      <c r="F25" s="36" t="s">
        <v>42</v>
      </c>
      <c r="G25" s="34" cm="1">
        <f t="array" ref="G25">SUM(--(MID(E25,_xlfn.SEQUENCE(LEN(E25)),1)&lt;&gt;MID(F25,_xlfn.SEQUENCE(LEN(F25)),1)))</f>
        <v>0</v>
      </c>
    </row>
    <row r="26" spans="1:7" x14ac:dyDescent="0.25">
      <c r="A26" s="6">
        <v>4</v>
      </c>
      <c r="B26" s="6">
        <v>16</v>
      </c>
      <c r="C26" s="6">
        <v>0.1</v>
      </c>
      <c r="D26" s="31"/>
      <c r="E26" s="36" t="s">
        <v>42</v>
      </c>
      <c r="F26" s="36" t="s">
        <v>42</v>
      </c>
      <c r="G26" s="34" cm="1">
        <f t="array" ref="G26">SUM(--(MID(E26,_xlfn.SEQUENCE(LEN(E26)),1)&lt;&gt;MID(F26,_xlfn.SEQUENCE(LEN(F26)),1)))</f>
        <v>0</v>
      </c>
    </row>
    <row r="27" spans="1:7" x14ac:dyDescent="0.25">
      <c r="A27" s="6">
        <v>4</v>
      </c>
      <c r="B27" s="6">
        <v>16</v>
      </c>
      <c r="C27" s="6">
        <v>0.1</v>
      </c>
      <c r="D27" s="31"/>
      <c r="E27" s="36" t="s">
        <v>42</v>
      </c>
      <c r="F27" s="36" t="s">
        <v>42</v>
      </c>
      <c r="G27" s="34" cm="1">
        <f t="array" ref="G27">SUM(--(MID(E27,_xlfn.SEQUENCE(LEN(E27)),1)&lt;&gt;MID(F27,_xlfn.SEQUENCE(LEN(F27)),1)))</f>
        <v>0</v>
      </c>
    </row>
    <row r="28" spans="1:7" x14ac:dyDescent="0.25">
      <c r="A28" s="6">
        <v>4</v>
      </c>
      <c r="B28" s="6">
        <v>16</v>
      </c>
      <c r="C28" s="6">
        <v>0.1</v>
      </c>
      <c r="D28" s="31"/>
      <c r="E28" s="36" t="s">
        <v>42</v>
      </c>
      <c r="F28" s="36" t="s">
        <v>42</v>
      </c>
      <c r="G28" s="34" cm="1">
        <f t="array" ref="G28">SUM(--(MID(E28,_xlfn.SEQUENCE(LEN(E28)),1)&lt;&gt;MID(F28,_xlfn.SEQUENCE(LEN(F28)),1)))</f>
        <v>0</v>
      </c>
    </row>
    <row r="29" spans="1:7" x14ac:dyDescent="0.25">
      <c r="A29" s="6">
        <v>4</v>
      </c>
      <c r="B29" s="6">
        <v>16</v>
      </c>
      <c r="C29" s="6">
        <v>0.1</v>
      </c>
      <c r="D29" s="31"/>
      <c r="E29" s="36" t="s">
        <v>42</v>
      </c>
      <c r="F29" s="36" t="s">
        <v>42</v>
      </c>
      <c r="G29" s="34" cm="1">
        <f t="array" ref="G29">SUM(--(MID(E29,_xlfn.SEQUENCE(LEN(E29)),1)&lt;&gt;MID(F29,_xlfn.SEQUENCE(LEN(F29)),1)))</f>
        <v>0</v>
      </c>
    </row>
    <row r="30" spans="1:7" x14ac:dyDescent="0.25">
      <c r="A30" s="6">
        <v>4</v>
      </c>
      <c r="B30" s="6">
        <v>16</v>
      </c>
      <c r="C30" s="6">
        <v>0.1</v>
      </c>
      <c r="D30" s="31"/>
      <c r="E30" s="36" t="s">
        <v>42</v>
      </c>
      <c r="F30" s="36" t="s">
        <v>42</v>
      </c>
      <c r="G30" s="34" cm="1">
        <f t="array" ref="G30">SUM(--(MID(E30,_xlfn.SEQUENCE(LEN(E30)),1)&lt;&gt;MID(F30,_xlfn.SEQUENCE(LEN(F30)),1)))</f>
        <v>0</v>
      </c>
    </row>
    <row r="31" spans="1:7" x14ac:dyDescent="0.25">
      <c r="A31" s="6">
        <v>4</v>
      </c>
      <c r="B31" s="6">
        <v>16</v>
      </c>
      <c r="C31" s="6">
        <v>0.1</v>
      </c>
      <c r="D31" s="31"/>
      <c r="E31" s="36" t="s">
        <v>42</v>
      </c>
      <c r="F31" s="36" t="s">
        <v>42</v>
      </c>
      <c r="G31" s="34" cm="1">
        <f t="array" ref="G31">SUM(--(MID(E31,_xlfn.SEQUENCE(LEN(E31)),1)&lt;&gt;MID(F31,_xlfn.SEQUENCE(LEN(F31)),1)))</f>
        <v>0</v>
      </c>
    </row>
    <row r="32" spans="1:7" x14ac:dyDescent="0.25">
      <c r="A32" s="6">
        <v>4</v>
      </c>
      <c r="B32" s="6">
        <v>16</v>
      </c>
      <c r="C32" s="6">
        <v>0.1</v>
      </c>
      <c r="D32" s="31"/>
      <c r="E32" s="36" t="s">
        <v>42</v>
      </c>
      <c r="F32" s="36" t="s">
        <v>42</v>
      </c>
      <c r="G32" s="34" cm="1">
        <f t="array" ref="G32">SUM(--(MID(E32,_xlfn.SEQUENCE(LEN(E32)),1)&lt;&gt;MID(F32,_xlfn.SEQUENCE(LEN(F32)),1)))</f>
        <v>0</v>
      </c>
    </row>
    <row r="33" spans="1:7" x14ac:dyDescent="0.25">
      <c r="A33" s="6">
        <v>4</v>
      </c>
      <c r="B33" s="6">
        <v>16</v>
      </c>
      <c r="C33" s="6">
        <v>0.1</v>
      </c>
      <c r="D33" s="31"/>
      <c r="E33" s="36" t="s">
        <v>42</v>
      </c>
      <c r="F33" s="36" t="s">
        <v>42</v>
      </c>
      <c r="G33" s="34" cm="1">
        <f t="array" ref="G33">SUM(--(MID(E33,_xlfn.SEQUENCE(LEN(E33)),1)&lt;&gt;MID(F33,_xlfn.SEQUENCE(LEN(F33)),1)))</f>
        <v>0</v>
      </c>
    </row>
    <row r="34" spans="1:7" x14ac:dyDescent="0.25">
      <c r="A34" s="6">
        <v>4</v>
      </c>
      <c r="B34" s="6">
        <v>16</v>
      </c>
      <c r="C34" s="6">
        <v>0.1</v>
      </c>
      <c r="D34" s="31"/>
      <c r="E34" s="36" t="s">
        <v>42</v>
      </c>
      <c r="F34" s="36" t="s">
        <v>42</v>
      </c>
      <c r="G34" s="34" cm="1">
        <f t="array" ref="G34">SUM(--(MID(E34,_xlfn.SEQUENCE(LEN(E34)),1)&lt;&gt;MID(F34,_xlfn.SEQUENCE(LEN(F34)),1)))</f>
        <v>0</v>
      </c>
    </row>
    <row r="35" spans="1:7" x14ac:dyDescent="0.25">
      <c r="A35" s="6">
        <v>4</v>
      </c>
      <c r="B35" s="6">
        <v>16</v>
      </c>
      <c r="C35" s="6">
        <v>0.1</v>
      </c>
      <c r="D35" s="31"/>
      <c r="E35" s="36" t="s">
        <v>42</v>
      </c>
      <c r="F35" s="36" t="s">
        <v>42</v>
      </c>
      <c r="G35" s="34" cm="1">
        <f t="array" ref="G35">SUM(--(MID(E35,_xlfn.SEQUENCE(LEN(E35)),1)&lt;&gt;MID(F35,_xlfn.SEQUENCE(LEN(F35)),1)))</f>
        <v>0</v>
      </c>
    </row>
    <row r="36" spans="1:7" x14ac:dyDescent="0.25">
      <c r="A36" s="32">
        <v>4</v>
      </c>
      <c r="B36" s="32">
        <v>16</v>
      </c>
      <c r="C36" s="32">
        <v>0.1</v>
      </c>
      <c r="D36" s="33"/>
      <c r="E36" s="32">
        <v>1111</v>
      </c>
      <c r="F36" s="37" t="s">
        <v>44</v>
      </c>
      <c r="G36" s="34" cm="1">
        <f t="array" ref="G36">SUM(--(MID(E36,_xlfn.SEQUENCE(LEN(E36)),1)&lt;&gt;MID(F36,_xlfn.SEQUENCE(LEN(F36)),1)))</f>
        <v>0</v>
      </c>
    </row>
    <row r="37" spans="1:7" x14ac:dyDescent="0.25">
      <c r="A37" s="32">
        <v>4</v>
      </c>
      <c r="B37" s="32">
        <v>16</v>
      </c>
      <c r="C37" s="32">
        <v>0.1</v>
      </c>
      <c r="D37" s="33"/>
      <c r="E37" s="32">
        <v>1111</v>
      </c>
      <c r="F37" s="37" t="s">
        <v>44</v>
      </c>
      <c r="G37" s="34" cm="1">
        <f t="array" ref="G37">SUM(--(MID(E37,_xlfn.SEQUENCE(LEN(E37)),1)&lt;&gt;MID(F37,_xlfn.SEQUENCE(LEN(F37)),1)))</f>
        <v>0</v>
      </c>
    </row>
    <row r="38" spans="1:7" x14ac:dyDescent="0.25">
      <c r="A38" s="32">
        <v>4</v>
      </c>
      <c r="B38" s="32">
        <v>16</v>
      </c>
      <c r="C38" s="32">
        <v>0.1</v>
      </c>
      <c r="D38" s="33"/>
      <c r="E38" s="32">
        <v>1111</v>
      </c>
      <c r="F38" s="37" t="s">
        <v>44</v>
      </c>
      <c r="G38" s="34" cm="1">
        <f t="array" ref="G38">SUM(--(MID(E38,_xlfn.SEQUENCE(LEN(E38)),1)&lt;&gt;MID(F38,_xlfn.SEQUENCE(LEN(F38)),1)))</f>
        <v>0</v>
      </c>
    </row>
    <row r="39" spans="1:7" x14ac:dyDescent="0.25">
      <c r="A39" s="32">
        <v>4</v>
      </c>
      <c r="B39" s="32">
        <v>16</v>
      </c>
      <c r="C39" s="32">
        <v>0.1</v>
      </c>
      <c r="D39" s="33"/>
      <c r="E39" s="32">
        <v>1111</v>
      </c>
      <c r="F39" s="37" t="s">
        <v>44</v>
      </c>
      <c r="G39" s="34" cm="1">
        <f t="array" ref="G39">SUM(--(MID(E39,_xlfn.SEQUENCE(LEN(E39)),1)&lt;&gt;MID(F39,_xlfn.SEQUENCE(LEN(F39)),1)))</f>
        <v>0</v>
      </c>
    </row>
    <row r="40" spans="1:7" x14ac:dyDescent="0.25">
      <c r="A40" s="32">
        <v>4</v>
      </c>
      <c r="B40" s="32">
        <v>16</v>
      </c>
      <c r="C40" s="32">
        <v>0.1</v>
      </c>
      <c r="D40" s="33"/>
      <c r="E40" s="32">
        <v>1111</v>
      </c>
      <c r="F40" s="37" t="s">
        <v>44</v>
      </c>
      <c r="G40" s="34" cm="1">
        <f t="array" ref="G40">SUM(--(MID(E40,_xlfn.SEQUENCE(LEN(E40)),1)&lt;&gt;MID(F40,_xlfn.SEQUENCE(LEN(F40)),1)))</f>
        <v>0</v>
      </c>
    </row>
    <row r="41" spans="1:7" x14ac:dyDescent="0.25">
      <c r="A41" s="32">
        <v>4</v>
      </c>
      <c r="B41" s="32">
        <v>16</v>
      </c>
      <c r="C41" s="32">
        <v>0.1</v>
      </c>
      <c r="D41" s="33"/>
      <c r="E41" s="32">
        <v>1111</v>
      </c>
      <c r="F41" s="37" t="s">
        <v>44</v>
      </c>
      <c r="G41" s="34" cm="1">
        <f t="array" ref="G41">SUM(--(MID(E41,_xlfn.SEQUENCE(LEN(E41)),1)&lt;&gt;MID(F41,_xlfn.SEQUENCE(LEN(F41)),1)))</f>
        <v>0</v>
      </c>
    </row>
    <row r="42" spans="1:7" x14ac:dyDescent="0.25">
      <c r="A42" s="32">
        <v>4</v>
      </c>
      <c r="B42" s="32">
        <v>16</v>
      </c>
      <c r="C42" s="32">
        <v>0.1</v>
      </c>
      <c r="D42" s="33"/>
      <c r="E42" s="32">
        <v>1111</v>
      </c>
      <c r="F42" s="37" t="s">
        <v>44</v>
      </c>
      <c r="G42" s="34" cm="1">
        <f t="array" ref="G42">SUM(--(MID(E42,_xlfn.SEQUENCE(LEN(E42)),1)&lt;&gt;MID(F42,_xlfn.SEQUENCE(LEN(F42)),1)))</f>
        <v>0</v>
      </c>
    </row>
    <row r="43" spans="1:7" x14ac:dyDescent="0.25">
      <c r="A43" s="32">
        <v>4</v>
      </c>
      <c r="B43" s="32">
        <v>16</v>
      </c>
      <c r="C43" s="32">
        <v>0.1</v>
      </c>
      <c r="D43" s="33"/>
      <c r="E43" s="32">
        <v>1111</v>
      </c>
      <c r="F43" s="37" t="s">
        <v>44</v>
      </c>
      <c r="G43" s="34" cm="1">
        <f t="array" ref="G43">SUM(--(MID(E43,_xlfn.SEQUENCE(LEN(E43)),1)&lt;&gt;MID(F43,_xlfn.SEQUENCE(LEN(F43)),1)))</f>
        <v>0</v>
      </c>
    </row>
    <row r="44" spans="1:7" x14ac:dyDescent="0.25">
      <c r="A44" s="32">
        <v>4</v>
      </c>
      <c r="B44" s="32">
        <v>16</v>
      </c>
      <c r="C44" s="32">
        <v>0.1</v>
      </c>
      <c r="D44" s="33"/>
      <c r="E44" s="32">
        <v>1111</v>
      </c>
      <c r="F44" s="37" t="s">
        <v>44</v>
      </c>
      <c r="G44" s="34" cm="1">
        <f t="array" ref="G44">SUM(--(MID(E44,_xlfn.SEQUENCE(LEN(E44)),1)&lt;&gt;MID(F44,_xlfn.SEQUENCE(LEN(F44)),1)))</f>
        <v>0</v>
      </c>
    </row>
    <row r="45" spans="1:7" x14ac:dyDescent="0.25">
      <c r="A45" s="32">
        <v>4</v>
      </c>
      <c r="B45" s="32">
        <v>16</v>
      </c>
      <c r="C45" s="32">
        <v>0.1</v>
      </c>
      <c r="D45" s="33"/>
      <c r="E45" s="32">
        <v>1111</v>
      </c>
      <c r="F45" s="37" t="s">
        <v>44</v>
      </c>
      <c r="G45" s="34" cm="1">
        <f t="array" ref="G45">SUM(--(MID(E45,_xlfn.SEQUENCE(LEN(E45)),1)&lt;&gt;MID(F45,_xlfn.SEQUENCE(LEN(F45)),1)))</f>
        <v>0</v>
      </c>
    </row>
    <row r="46" spans="1:7" x14ac:dyDescent="0.25">
      <c r="A46" s="32">
        <v>4</v>
      </c>
      <c r="B46" s="32">
        <v>16</v>
      </c>
      <c r="C46" s="32">
        <v>0.1</v>
      </c>
      <c r="D46" s="33"/>
      <c r="E46" s="32">
        <v>1111</v>
      </c>
      <c r="F46" s="37" t="s">
        <v>44</v>
      </c>
      <c r="G46" s="34" cm="1">
        <f t="array" ref="G46">SUM(--(MID(E46,_xlfn.SEQUENCE(LEN(E46)),1)&lt;&gt;MID(F46,_xlfn.SEQUENCE(LEN(F46)),1)))</f>
        <v>0</v>
      </c>
    </row>
    <row r="47" spans="1:7" x14ac:dyDescent="0.25">
      <c r="A47" s="6">
        <v>4</v>
      </c>
      <c r="B47" s="6">
        <v>16</v>
      </c>
      <c r="C47" s="6">
        <v>0.2</v>
      </c>
      <c r="D47" s="31"/>
      <c r="E47" s="36" t="s">
        <v>42</v>
      </c>
      <c r="F47" s="36" t="s">
        <v>42</v>
      </c>
      <c r="G47" s="34" cm="1">
        <f t="array" ref="G47">SUM(--(MID(E47,_xlfn.SEQUENCE(LEN(E47)),1)&lt;&gt;MID(F47,_xlfn.SEQUENCE(LEN(F47)),1)))</f>
        <v>0</v>
      </c>
    </row>
    <row r="48" spans="1:7" x14ac:dyDescent="0.25">
      <c r="A48" s="6">
        <v>4</v>
      </c>
      <c r="B48" s="6">
        <v>16</v>
      </c>
      <c r="C48" s="6">
        <v>0.2</v>
      </c>
      <c r="D48" s="31"/>
      <c r="E48" s="36" t="s">
        <v>42</v>
      </c>
      <c r="F48" s="36" t="s">
        <v>42</v>
      </c>
      <c r="G48" s="34" cm="1">
        <f t="array" ref="G48">SUM(--(MID(E48,_xlfn.SEQUENCE(LEN(E48)),1)&lt;&gt;MID(F48,_xlfn.SEQUENCE(LEN(F48)),1)))</f>
        <v>0</v>
      </c>
    </row>
    <row r="49" spans="1:7" x14ac:dyDescent="0.25">
      <c r="A49" s="6">
        <v>4</v>
      </c>
      <c r="B49" s="6">
        <v>16</v>
      </c>
      <c r="C49" s="6">
        <v>0.2</v>
      </c>
      <c r="D49" s="31"/>
      <c r="E49" s="36" t="s">
        <v>42</v>
      </c>
      <c r="F49" s="36" t="s">
        <v>42</v>
      </c>
      <c r="G49" s="34" cm="1">
        <f t="array" ref="G49">SUM(--(MID(E49,_xlfn.SEQUENCE(LEN(E49)),1)&lt;&gt;MID(F49,_xlfn.SEQUENCE(LEN(F49)),1)))</f>
        <v>0</v>
      </c>
    </row>
    <row r="50" spans="1:7" x14ac:dyDescent="0.25">
      <c r="A50" s="6">
        <v>4</v>
      </c>
      <c r="B50" s="6">
        <v>16</v>
      </c>
      <c r="C50" s="6">
        <v>0.2</v>
      </c>
      <c r="D50" s="31"/>
      <c r="E50" s="36" t="s">
        <v>42</v>
      </c>
      <c r="F50" s="36" t="s">
        <v>42</v>
      </c>
      <c r="G50" s="34" cm="1">
        <f t="array" ref="G50">SUM(--(MID(E50,_xlfn.SEQUENCE(LEN(E50)),1)&lt;&gt;MID(F50,_xlfn.SEQUENCE(LEN(F50)),1)))</f>
        <v>0</v>
      </c>
    </row>
    <row r="51" spans="1:7" x14ac:dyDescent="0.25">
      <c r="A51" s="6">
        <v>4</v>
      </c>
      <c r="B51" s="6">
        <v>16</v>
      </c>
      <c r="C51" s="6">
        <v>0.2</v>
      </c>
      <c r="D51" s="31"/>
      <c r="E51" s="36" t="s">
        <v>42</v>
      </c>
      <c r="F51" s="36" t="s">
        <v>42</v>
      </c>
      <c r="G51" s="34" cm="1">
        <f t="array" ref="G51">SUM(--(MID(E51,_xlfn.SEQUENCE(LEN(E51)),1)&lt;&gt;MID(F51,_xlfn.SEQUENCE(LEN(F51)),1)))</f>
        <v>0</v>
      </c>
    </row>
    <row r="52" spans="1:7" x14ac:dyDescent="0.25">
      <c r="A52" s="6">
        <v>4</v>
      </c>
      <c r="B52" s="6">
        <v>16</v>
      </c>
      <c r="C52" s="6">
        <v>0.2</v>
      </c>
      <c r="D52" s="31"/>
      <c r="E52" s="36" t="s">
        <v>42</v>
      </c>
      <c r="F52" s="36" t="s">
        <v>42</v>
      </c>
      <c r="G52" s="34" cm="1">
        <f t="array" ref="G52">SUM(--(MID(E52,_xlfn.SEQUENCE(LEN(E52)),1)&lt;&gt;MID(F52,_xlfn.SEQUENCE(LEN(F52)),1)))</f>
        <v>0</v>
      </c>
    </row>
    <row r="53" spans="1:7" x14ac:dyDescent="0.25">
      <c r="A53" s="6">
        <v>4</v>
      </c>
      <c r="B53" s="6">
        <v>16</v>
      </c>
      <c r="C53" s="6">
        <v>0.2</v>
      </c>
      <c r="D53" s="31"/>
      <c r="E53" s="36" t="s">
        <v>42</v>
      </c>
      <c r="F53" s="36" t="s">
        <v>42</v>
      </c>
      <c r="G53" s="34" cm="1">
        <f t="array" ref="G53">SUM(--(MID(E53,_xlfn.SEQUENCE(LEN(E53)),1)&lt;&gt;MID(F53,_xlfn.SEQUENCE(LEN(F53)),1)))</f>
        <v>0</v>
      </c>
    </row>
    <row r="54" spans="1:7" x14ac:dyDescent="0.25">
      <c r="A54" s="6">
        <v>4</v>
      </c>
      <c r="B54" s="6">
        <v>16</v>
      </c>
      <c r="C54" s="6">
        <v>0.2</v>
      </c>
      <c r="D54" s="31"/>
      <c r="E54" s="36" t="s">
        <v>42</v>
      </c>
      <c r="F54" s="36" t="s">
        <v>42</v>
      </c>
      <c r="G54" s="34" cm="1">
        <f t="array" ref="G54">SUM(--(MID(E54,_xlfn.SEQUENCE(LEN(E54)),1)&lt;&gt;MID(F54,_xlfn.SEQUENCE(LEN(F54)),1)))</f>
        <v>0</v>
      </c>
    </row>
    <row r="55" spans="1:7" x14ac:dyDescent="0.25">
      <c r="A55" s="6">
        <v>4</v>
      </c>
      <c r="B55" s="6">
        <v>16</v>
      </c>
      <c r="C55" s="6">
        <v>0.2</v>
      </c>
      <c r="D55" s="31"/>
      <c r="E55" s="36" t="s">
        <v>42</v>
      </c>
      <c r="F55" s="36" t="s">
        <v>63</v>
      </c>
      <c r="G55" s="34" cm="1">
        <f t="array" ref="G55">SUM(--(MID(E55,_xlfn.SEQUENCE(LEN(E55)),1)&lt;&gt;MID(F55,_xlfn.SEQUENCE(LEN(F55)),1)))</f>
        <v>1</v>
      </c>
    </row>
    <row r="56" spans="1:7" x14ac:dyDescent="0.25">
      <c r="A56" s="6">
        <v>4</v>
      </c>
      <c r="B56" s="6">
        <v>16</v>
      </c>
      <c r="C56" s="6">
        <v>0.2</v>
      </c>
      <c r="D56" s="31"/>
      <c r="E56" s="36" t="s">
        <v>42</v>
      </c>
      <c r="F56" s="36" t="s">
        <v>42</v>
      </c>
      <c r="G56" s="34" cm="1">
        <f t="array" ref="G56">SUM(--(MID(E56,_xlfn.SEQUENCE(LEN(E56)),1)&lt;&gt;MID(F56,_xlfn.SEQUENCE(LEN(F56)),1)))</f>
        <v>0</v>
      </c>
    </row>
    <row r="57" spans="1:7" x14ac:dyDescent="0.25">
      <c r="A57" s="6">
        <v>4</v>
      </c>
      <c r="B57" s="6">
        <v>16</v>
      </c>
      <c r="C57" s="6">
        <v>0.2</v>
      </c>
      <c r="D57" s="31"/>
      <c r="E57" s="36" t="s">
        <v>42</v>
      </c>
      <c r="F57" s="36" t="s">
        <v>42</v>
      </c>
      <c r="G57" s="34" cm="1">
        <f t="array" ref="G57">SUM(--(MID(E57,_xlfn.SEQUENCE(LEN(E57)),1)&lt;&gt;MID(F57,_xlfn.SEQUENCE(LEN(F57)),1)))</f>
        <v>0</v>
      </c>
    </row>
    <row r="58" spans="1:7" x14ac:dyDescent="0.25">
      <c r="A58" s="32">
        <v>4</v>
      </c>
      <c r="B58" s="32">
        <v>16</v>
      </c>
      <c r="C58" s="32">
        <v>0.2</v>
      </c>
      <c r="D58" s="33"/>
      <c r="E58" s="32">
        <v>1111</v>
      </c>
      <c r="F58" s="37" t="s">
        <v>44</v>
      </c>
      <c r="G58" s="34" cm="1">
        <f t="array" ref="G58">SUM(--(MID(E58,_xlfn.SEQUENCE(LEN(E58)),1)&lt;&gt;MID(F58,_xlfn.SEQUENCE(LEN(F58)),1)))</f>
        <v>0</v>
      </c>
    </row>
    <row r="59" spans="1:7" x14ac:dyDescent="0.25">
      <c r="A59" s="32">
        <v>4</v>
      </c>
      <c r="B59" s="32">
        <v>16</v>
      </c>
      <c r="C59" s="32">
        <v>0.2</v>
      </c>
      <c r="D59" s="33"/>
      <c r="E59" s="32">
        <v>1111</v>
      </c>
      <c r="F59" s="37" t="s">
        <v>44</v>
      </c>
      <c r="G59" s="34" cm="1">
        <f t="array" ref="G59">SUM(--(MID(E59,_xlfn.SEQUENCE(LEN(E59)),1)&lt;&gt;MID(F59,_xlfn.SEQUENCE(LEN(F59)),1)))</f>
        <v>0</v>
      </c>
    </row>
    <row r="60" spans="1:7" x14ac:dyDescent="0.25">
      <c r="A60" s="32">
        <v>4</v>
      </c>
      <c r="B60" s="32">
        <v>16</v>
      </c>
      <c r="C60" s="32">
        <v>0.2</v>
      </c>
      <c r="D60" s="33"/>
      <c r="E60" s="32">
        <v>1111</v>
      </c>
      <c r="F60" s="37" t="s">
        <v>46</v>
      </c>
      <c r="G60" s="34" cm="1">
        <f t="array" ref="G60">SUM(--(MID(E60,_xlfn.SEQUENCE(LEN(E60)),1)&lt;&gt;MID(F60,_xlfn.SEQUENCE(LEN(F60)),1)))</f>
        <v>2</v>
      </c>
    </row>
    <row r="61" spans="1:7" x14ac:dyDescent="0.25">
      <c r="A61" s="32">
        <v>4</v>
      </c>
      <c r="B61" s="32">
        <v>16</v>
      </c>
      <c r="C61" s="32">
        <v>0.2</v>
      </c>
      <c r="D61" s="33"/>
      <c r="E61" s="32">
        <v>1111</v>
      </c>
      <c r="F61" s="37" t="s">
        <v>44</v>
      </c>
      <c r="G61" s="34" cm="1">
        <f t="array" ref="G61">SUM(--(MID(E61,_xlfn.SEQUENCE(LEN(E61)),1)&lt;&gt;MID(F61,_xlfn.SEQUENCE(LEN(F61)),1)))</f>
        <v>0</v>
      </c>
    </row>
    <row r="62" spans="1:7" x14ac:dyDescent="0.25">
      <c r="A62" s="32">
        <v>4</v>
      </c>
      <c r="B62" s="32">
        <v>16</v>
      </c>
      <c r="C62" s="32">
        <v>0.2</v>
      </c>
      <c r="D62" s="33"/>
      <c r="E62" s="32">
        <v>1111</v>
      </c>
      <c r="F62" s="37" t="s">
        <v>64</v>
      </c>
      <c r="G62" s="34" cm="1">
        <f t="array" ref="G62">SUM(--(MID(E62,_xlfn.SEQUENCE(LEN(E62)),1)&lt;&gt;MID(F62,_xlfn.SEQUENCE(LEN(F62)),1)))</f>
        <v>2</v>
      </c>
    </row>
    <row r="63" spans="1:7" x14ac:dyDescent="0.25">
      <c r="A63" s="32">
        <v>4</v>
      </c>
      <c r="B63" s="32">
        <v>16</v>
      </c>
      <c r="C63" s="32">
        <v>0.2</v>
      </c>
      <c r="D63" s="33"/>
      <c r="E63" s="32">
        <v>1111</v>
      </c>
      <c r="F63" s="37" t="s">
        <v>44</v>
      </c>
      <c r="G63" s="34" cm="1">
        <f t="array" ref="G63">SUM(--(MID(E63,_xlfn.SEQUENCE(LEN(E63)),1)&lt;&gt;MID(F63,_xlfn.SEQUENCE(LEN(F63)),1)))</f>
        <v>0</v>
      </c>
    </row>
    <row r="64" spans="1:7" x14ac:dyDescent="0.25">
      <c r="A64" s="32">
        <v>4</v>
      </c>
      <c r="B64" s="32">
        <v>16</v>
      </c>
      <c r="C64" s="32">
        <v>0.2</v>
      </c>
      <c r="D64" s="33"/>
      <c r="E64" s="32">
        <v>1111</v>
      </c>
      <c r="F64" s="37" t="s">
        <v>44</v>
      </c>
      <c r="G64" s="34" cm="1">
        <f t="array" ref="G64">SUM(--(MID(E64,_xlfn.SEQUENCE(LEN(E64)),1)&lt;&gt;MID(F64,_xlfn.SEQUENCE(LEN(F64)),1)))</f>
        <v>0</v>
      </c>
    </row>
    <row r="65" spans="1:7" x14ac:dyDescent="0.25">
      <c r="A65" s="32">
        <v>4</v>
      </c>
      <c r="B65" s="32">
        <v>16</v>
      </c>
      <c r="C65" s="32">
        <v>0.2</v>
      </c>
      <c r="D65" s="33"/>
      <c r="E65" s="32">
        <v>1111</v>
      </c>
      <c r="F65" s="37" t="s">
        <v>44</v>
      </c>
      <c r="G65" s="34" cm="1">
        <f t="array" ref="G65">SUM(--(MID(E65,_xlfn.SEQUENCE(LEN(E65)),1)&lt;&gt;MID(F65,_xlfn.SEQUENCE(LEN(F65)),1)))</f>
        <v>0</v>
      </c>
    </row>
    <row r="66" spans="1:7" x14ac:dyDescent="0.25">
      <c r="A66" s="32">
        <v>4</v>
      </c>
      <c r="B66" s="32">
        <v>16</v>
      </c>
      <c r="C66" s="32">
        <v>0.2</v>
      </c>
      <c r="D66" s="33"/>
      <c r="E66" s="32">
        <v>1111</v>
      </c>
      <c r="F66" s="37" t="s">
        <v>44</v>
      </c>
      <c r="G66" s="34" cm="1">
        <f t="array" ref="G66">SUM(--(MID(E66,_xlfn.SEQUENCE(LEN(E66)),1)&lt;&gt;MID(F66,_xlfn.SEQUENCE(LEN(F66)),1)))</f>
        <v>0</v>
      </c>
    </row>
    <row r="67" spans="1:7" x14ac:dyDescent="0.25">
      <c r="A67" s="32">
        <v>4</v>
      </c>
      <c r="B67" s="32">
        <v>16</v>
      </c>
      <c r="C67" s="32">
        <v>0.2</v>
      </c>
      <c r="D67" s="33"/>
      <c r="E67" s="32">
        <v>1111</v>
      </c>
      <c r="F67" s="37" t="s">
        <v>65</v>
      </c>
      <c r="G67" s="34" cm="1">
        <f t="array" ref="G67">SUM(--(MID(E67,_xlfn.SEQUENCE(LEN(E67)),1)&lt;&gt;MID(F67,_xlfn.SEQUENCE(LEN(F67)),1)))</f>
        <v>2</v>
      </c>
    </row>
    <row r="68" spans="1:7" x14ac:dyDescent="0.25">
      <c r="A68" s="32">
        <v>4</v>
      </c>
      <c r="B68" s="32">
        <v>16</v>
      </c>
      <c r="C68" s="32">
        <v>0.2</v>
      </c>
      <c r="D68" s="33"/>
      <c r="E68" s="32">
        <v>1111</v>
      </c>
      <c r="F68" s="37" t="s">
        <v>44</v>
      </c>
      <c r="G68" s="34" cm="1">
        <f t="array" ref="G68">SUM(--(MID(E68,_xlfn.SEQUENCE(LEN(E68)),1)&lt;&gt;MID(F68,_xlfn.SEQUENCE(LEN(F68)),1)))</f>
        <v>0</v>
      </c>
    </row>
    <row r="69" spans="1:7" x14ac:dyDescent="0.25">
      <c r="A69" s="6">
        <v>4</v>
      </c>
      <c r="B69" s="6">
        <v>16</v>
      </c>
      <c r="C69" s="6">
        <v>0.3</v>
      </c>
      <c r="D69" s="31"/>
      <c r="E69" s="36" t="s">
        <v>42</v>
      </c>
      <c r="F69" s="36" t="s">
        <v>66</v>
      </c>
      <c r="G69" s="34" cm="1">
        <f t="array" ref="G69">SUM(--(MID(E69,_xlfn.SEQUENCE(LEN(E69)),1)&lt;&gt;MID(F69,_xlfn.SEQUENCE(LEN(F69)),1)))</f>
        <v>1</v>
      </c>
    </row>
    <row r="70" spans="1:7" x14ac:dyDescent="0.25">
      <c r="A70" s="6">
        <v>4</v>
      </c>
      <c r="B70" s="6">
        <v>16</v>
      </c>
      <c r="C70" s="6">
        <v>0.3</v>
      </c>
      <c r="D70" s="31"/>
      <c r="E70" s="36" t="s">
        <v>42</v>
      </c>
      <c r="F70" s="36" t="s">
        <v>42</v>
      </c>
      <c r="G70" s="34" cm="1">
        <f t="array" ref="G70">SUM(--(MID(E70,_xlfn.SEQUENCE(LEN(E70)),1)&lt;&gt;MID(F70,_xlfn.SEQUENCE(LEN(F70)),1)))</f>
        <v>0</v>
      </c>
    </row>
    <row r="71" spans="1:7" x14ac:dyDescent="0.25">
      <c r="A71" s="6">
        <v>4</v>
      </c>
      <c r="B71" s="6">
        <v>16</v>
      </c>
      <c r="C71" s="6">
        <v>0.3</v>
      </c>
      <c r="D71" s="31"/>
      <c r="E71" s="36" t="s">
        <v>42</v>
      </c>
      <c r="F71" s="36" t="s">
        <v>42</v>
      </c>
      <c r="G71" s="34" cm="1">
        <f t="array" ref="G71">SUM(--(MID(E71,_xlfn.SEQUENCE(LEN(E71)),1)&lt;&gt;MID(F71,_xlfn.SEQUENCE(LEN(F71)),1)))</f>
        <v>0</v>
      </c>
    </row>
    <row r="72" spans="1:7" x14ac:dyDescent="0.25">
      <c r="A72" s="6">
        <v>4</v>
      </c>
      <c r="B72" s="6">
        <v>16</v>
      </c>
      <c r="C72" s="6">
        <v>0.3</v>
      </c>
      <c r="D72" s="31"/>
      <c r="E72" s="36" t="s">
        <v>42</v>
      </c>
      <c r="F72" s="36" t="s">
        <v>67</v>
      </c>
      <c r="G72" s="34" cm="1">
        <f t="array" ref="G72">SUM(--(MID(E72,_xlfn.SEQUENCE(LEN(E72)),1)&lt;&gt;MID(F72,_xlfn.SEQUENCE(LEN(F72)),1)))</f>
        <v>3</v>
      </c>
    </row>
    <row r="73" spans="1:7" x14ac:dyDescent="0.25">
      <c r="A73" s="6">
        <v>4</v>
      </c>
      <c r="B73" s="6">
        <v>16</v>
      </c>
      <c r="C73" s="6">
        <v>0.3</v>
      </c>
      <c r="D73" s="31"/>
      <c r="E73" s="36" t="s">
        <v>42</v>
      </c>
      <c r="F73" s="36" t="s">
        <v>65</v>
      </c>
      <c r="G73" s="34" cm="1">
        <f t="array" ref="G73">SUM(--(MID(E73,_xlfn.SEQUENCE(LEN(E73)),1)&lt;&gt;MID(F73,_xlfn.SEQUENCE(LEN(F73)),1)))</f>
        <v>2</v>
      </c>
    </row>
    <row r="74" spans="1:7" x14ac:dyDescent="0.25">
      <c r="A74" s="6">
        <v>4</v>
      </c>
      <c r="B74" s="6">
        <v>16</v>
      </c>
      <c r="C74" s="6">
        <v>0.3</v>
      </c>
      <c r="D74" s="31"/>
      <c r="E74" s="36" t="s">
        <v>42</v>
      </c>
      <c r="F74" s="36" t="s">
        <v>42</v>
      </c>
      <c r="G74" s="34" cm="1">
        <f t="array" ref="G74">SUM(--(MID(E74,_xlfn.SEQUENCE(LEN(E74)),1)&lt;&gt;MID(F74,_xlfn.SEQUENCE(LEN(F74)),1)))</f>
        <v>0</v>
      </c>
    </row>
    <row r="75" spans="1:7" x14ac:dyDescent="0.25">
      <c r="A75" s="6">
        <v>4</v>
      </c>
      <c r="B75" s="6">
        <v>16</v>
      </c>
      <c r="C75" s="6">
        <v>0.3</v>
      </c>
      <c r="D75" s="31"/>
      <c r="E75" s="36" t="s">
        <v>42</v>
      </c>
      <c r="F75" s="36" t="s">
        <v>68</v>
      </c>
      <c r="G75" s="34" cm="1">
        <f t="array" ref="G75">SUM(--(MID(E75,_xlfn.SEQUENCE(LEN(E75)),1)&lt;&gt;MID(F75,_xlfn.SEQUENCE(LEN(F75)),1)))</f>
        <v>2</v>
      </c>
    </row>
    <row r="76" spans="1:7" x14ac:dyDescent="0.25">
      <c r="A76" s="6">
        <v>4</v>
      </c>
      <c r="B76" s="6">
        <v>16</v>
      </c>
      <c r="C76" s="6">
        <v>0.3</v>
      </c>
      <c r="D76" s="31"/>
      <c r="E76" s="36" t="s">
        <v>42</v>
      </c>
      <c r="F76" s="36" t="s">
        <v>42</v>
      </c>
      <c r="G76" s="34" cm="1">
        <f t="array" ref="G76">SUM(--(MID(E76,_xlfn.SEQUENCE(LEN(E76)),1)&lt;&gt;MID(F76,_xlfn.SEQUENCE(LEN(F76)),1)))</f>
        <v>0</v>
      </c>
    </row>
    <row r="77" spans="1:7" x14ac:dyDescent="0.25">
      <c r="A77" s="6">
        <v>4</v>
      </c>
      <c r="B77" s="6">
        <v>16</v>
      </c>
      <c r="C77" s="6">
        <v>0.3</v>
      </c>
      <c r="D77" s="31"/>
      <c r="E77" s="36" t="s">
        <v>42</v>
      </c>
      <c r="F77" s="36" t="s">
        <v>42</v>
      </c>
      <c r="G77" s="34" cm="1">
        <f t="array" ref="G77">SUM(--(MID(E77,_xlfn.SEQUENCE(LEN(E77)),1)&lt;&gt;MID(F77,_xlfn.SEQUENCE(LEN(F77)),1)))</f>
        <v>0</v>
      </c>
    </row>
    <row r="78" spans="1:7" x14ac:dyDescent="0.25">
      <c r="A78" s="6">
        <v>4</v>
      </c>
      <c r="B78" s="6">
        <v>16</v>
      </c>
      <c r="C78" s="6">
        <v>0.3</v>
      </c>
      <c r="D78" s="31"/>
      <c r="E78" s="36" t="s">
        <v>42</v>
      </c>
      <c r="F78" s="36" t="s">
        <v>63</v>
      </c>
      <c r="G78" s="34" cm="1">
        <f t="array" ref="G78">SUM(--(MID(E78,_xlfn.SEQUENCE(LEN(E78)),1)&lt;&gt;MID(F78,_xlfn.SEQUENCE(LEN(F78)),1)))</f>
        <v>1</v>
      </c>
    </row>
    <row r="79" spans="1:7" x14ac:dyDescent="0.25">
      <c r="A79" s="6">
        <v>4</v>
      </c>
      <c r="B79" s="6">
        <v>16</v>
      </c>
      <c r="C79" s="6">
        <v>0.3</v>
      </c>
      <c r="D79" s="31"/>
      <c r="E79" s="36" t="s">
        <v>42</v>
      </c>
      <c r="F79" s="36" t="s">
        <v>66</v>
      </c>
      <c r="G79" s="34" cm="1">
        <f t="array" ref="G79">SUM(--(MID(E79,_xlfn.SEQUENCE(LEN(E79)),1)&lt;&gt;MID(F79,_xlfn.SEQUENCE(LEN(F79)),1)))</f>
        <v>1</v>
      </c>
    </row>
    <row r="80" spans="1:7" x14ac:dyDescent="0.25">
      <c r="A80" s="32">
        <v>4</v>
      </c>
      <c r="B80" s="32">
        <v>16</v>
      </c>
      <c r="C80" s="32">
        <v>0.3</v>
      </c>
      <c r="D80" s="33"/>
      <c r="E80" s="32">
        <v>1111</v>
      </c>
      <c r="F80" s="37" t="s">
        <v>48</v>
      </c>
      <c r="G80" s="34" cm="1">
        <f t="array" ref="G80">SUM(--(MID(E80,_xlfn.SEQUENCE(LEN(E80)),1)&lt;&gt;MID(F80,_xlfn.SEQUENCE(LEN(F80)),1)))</f>
        <v>1</v>
      </c>
    </row>
    <row r="81" spans="1:7" x14ac:dyDescent="0.25">
      <c r="A81" s="32">
        <v>4</v>
      </c>
      <c r="B81" s="32">
        <v>16</v>
      </c>
      <c r="C81" s="32">
        <v>0.3</v>
      </c>
      <c r="D81" s="33"/>
      <c r="E81" s="32">
        <v>1111</v>
      </c>
      <c r="F81" s="37" t="s">
        <v>44</v>
      </c>
      <c r="G81" s="34" cm="1">
        <f t="array" ref="G81">SUM(--(MID(E81,_xlfn.SEQUENCE(LEN(E81)),1)&lt;&gt;MID(F81,_xlfn.SEQUENCE(LEN(F81)),1)))</f>
        <v>0</v>
      </c>
    </row>
    <row r="82" spans="1:7" x14ac:dyDescent="0.25">
      <c r="A82" s="32">
        <v>4</v>
      </c>
      <c r="B82" s="32">
        <v>16</v>
      </c>
      <c r="C82" s="32">
        <v>0.3</v>
      </c>
      <c r="D82" s="33"/>
      <c r="E82" s="32">
        <v>1111</v>
      </c>
      <c r="F82" s="37" t="s">
        <v>63</v>
      </c>
      <c r="G82" s="34" cm="1">
        <f t="array" ref="G82">SUM(--(MID(E82,_xlfn.SEQUENCE(LEN(E82)),1)&lt;&gt;MID(F82,_xlfn.SEQUENCE(LEN(F82)),1)))</f>
        <v>3</v>
      </c>
    </row>
    <row r="83" spans="1:7" x14ac:dyDescent="0.25">
      <c r="A83" s="32">
        <v>4</v>
      </c>
      <c r="B83" s="32">
        <v>16</v>
      </c>
      <c r="C83" s="32">
        <v>0.3</v>
      </c>
      <c r="D83" s="33"/>
      <c r="E83" s="32">
        <v>1111</v>
      </c>
      <c r="F83" s="37" t="s">
        <v>44</v>
      </c>
      <c r="G83" s="34" cm="1">
        <f t="array" ref="G83">SUM(--(MID(E83,_xlfn.SEQUENCE(LEN(E83)),1)&lt;&gt;MID(F83,_xlfn.SEQUENCE(LEN(F83)),1)))</f>
        <v>0</v>
      </c>
    </row>
    <row r="84" spans="1:7" x14ac:dyDescent="0.25">
      <c r="A84" s="32">
        <v>4</v>
      </c>
      <c r="B84" s="32">
        <v>16</v>
      </c>
      <c r="C84" s="32">
        <v>0.3</v>
      </c>
      <c r="D84" s="33"/>
      <c r="E84" s="32">
        <v>1111</v>
      </c>
      <c r="F84" s="37" t="s">
        <v>44</v>
      </c>
      <c r="G84" s="34" cm="1">
        <f t="array" ref="G84">SUM(--(MID(E84,_xlfn.SEQUENCE(LEN(E84)),1)&lt;&gt;MID(F84,_xlfn.SEQUENCE(LEN(F84)),1)))</f>
        <v>0</v>
      </c>
    </row>
    <row r="85" spans="1:7" x14ac:dyDescent="0.25">
      <c r="A85" s="32">
        <v>4</v>
      </c>
      <c r="B85" s="32">
        <v>16</v>
      </c>
      <c r="C85" s="32">
        <v>0.3</v>
      </c>
      <c r="D85" s="33"/>
      <c r="E85" s="32">
        <v>1111</v>
      </c>
      <c r="F85" s="37" t="s">
        <v>69</v>
      </c>
      <c r="G85" s="34" cm="1">
        <f t="array" ref="G85">SUM(--(MID(E85,_xlfn.SEQUENCE(LEN(E85)),1)&lt;&gt;MID(F85,_xlfn.SEQUENCE(LEN(F85)),1)))</f>
        <v>2</v>
      </c>
    </row>
    <row r="86" spans="1:7" x14ac:dyDescent="0.25">
      <c r="A86" s="32">
        <v>4</v>
      </c>
      <c r="B86" s="32">
        <v>16</v>
      </c>
      <c r="C86" s="32">
        <v>0.3</v>
      </c>
      <c r="D86" s="33"/>
      <c r="E86" s="32">
        <v>1111</v>
      </c>
      <c r="F86" s="37" t="s">
        <v>44</v>
      </c>
      <c r="G86" s="34" cm="1">
        <f t="array" ref="G86">SUM(--(MID(E86,_xlfn.SEQUENCE(LEN(E86)),1)&lt;&gt;MID(F86,_xlfn.SEQUENCE(LEN(F86)),1)))</f>
        <v>0</v>
      </c>
    </row>
    <row r="87" spans="1:7" x14ac:dyDescent="0.25">
      <c r="A87" s="32">
        <v>4</v>
      </c>
      <c r="B87" s="32">
        <v>16</v>
      </c>
      <c r="C87" s="32">
        <v>0.3</v>
      </c>
      <c r="D87" s="33"/>
      <c r="E87" s="32">
        <v>1111</v>
      </c>
      <c r="F87" s="37" t="s">
        <v>67</v>
      </c>
      <c r="G87" s="34" cm="1">
        <f t="array" ref="G87">SUM(--(MID(E87,_xlfn.SEQUENCE(LEN(E87)),1)&lt;&gt;MID(F87,_xlfn.SEQUENCE(LEN(F87)),1)))</f>
        <v>1</v>
      </c>
    </row>
    <row r="88" spans="1:7" x14ac:dyDescent="0.25">
      <c r="A88" s="32">
        <v>4</v>
      </c>
      <c r="B88" s="32">
        <v>16</v>
      </c>
      <c r="C88" s="32">
        <v>0.3</v>
      </c>
      <c r="D88" s="33"/>
      <c r="E88" s="32">
        <v>1111</v>
      </c>
      <c r="F88" s="37" t="s">
        <v>64</v>
      </c>
      <c r="G88" s="34" cm="1">
        <f t="array" ref="G88">SUM(--(MID(E88,_xlfn.SEQUENCE(LEN(E88)),1)&lt;&gt;MID(F88,_xlfn.SEQUENCE(LEN(F88)),1)))</f>
        <v>2</v>
      </c>
    </row>
    <row r="89" spans="1:7" x14ac:dyDescent="0.25">
      <c r="A89" s="32">
        <v>4</v>
      </c>
      <c r="B89" s="32">
        <v>16</v>
      </c>
      <c r="C89" s="32">
        <v>0.3</v>
      </c>
      <c r="D89" s="33"/>
      <c r="E89" s="32">
        <v>1111</v>
      </c>
      <c r="F89" s="37" t="s">
        <v>69</v>
      </c>
      <c r="G89" s="34" cm="1">
        <f t="array" ref="G89">SUM(--(MID(E89,_xlfn.SEQUENCE(LEN(E89)),1)&lt;&gt;MID(F89,_xlfn.SEQUENCE(LEN(F89)),1)))</f>
        <v>2</v>
      </c>
    </row>
    <row r="90" spans="1:7" x14ac:dyDescent="0.25">
      <c r="A90" s="32">
        <v>4</v>
      </c>
      <c r="B90" s="32">
        <v>16</v>
      </c>
      <c r="C90" s="32">
        <v>0.3</v>
      </c>
      <c r="D90" s="33"/>
      <c r="E90" s="32">
        <v>1111</v>
      </c>
      <c r="F90" s="37" t="s">
        <v>48</v>
      </c>
      <c r="G90" s="34" cm="1">
        <f t="array" ref="G90">SUM(--(MID(E90,_xlfn.SEQUENCE(LEN(E90)),1)&lt;&gt;MID(F90,_xlfn.SEQUENCE(LEN(F90)),1)))</f>
        <v>1</v>
      </c>
    </row>
    <row r="91" spans="1:7" x14ac:dyDescent="0.25">
      <c r="A91" s="6">
        <v>4</v>
      </c>
      <c r="B91" s="6">
        <v>16</v>
      </c>
      <c r="C91" s="6">
        <v>0.4</v>
      </c>
      <c r="D91" s="31"/>
      <c r="E91" s="36" t="s">
        <v>42</v>
      </c>
      <c r="F91" s="36" t="s">
        <v>42</v>
      </c>
      <c r="G91" s="34" cm="1">
        <f t="array" ref="G91">SUM(--(MID(E91,_xlfn.SEQUENCE(LEN(E91)),1)&lt;&gt;MID(F91,_xlfn.SEQUENCE(LEN(F91)),1)))</f>
        <v>0</v>
      </c>
    </row>
    <row r="92" spans="1:7" x14ac:dyDescent="0.25">
      <c r="A92" s="6">
        <v>4</v>
      </c>
      <c r="B92" s="6">
        <v>16</v>
      </c>
      <c r="C92" s="6">
        <v>0.4</v>
      </c>
      <c r="D92" s="31"/>
      <c r="E92" s="36" t="s">
        <v>42</v>
      </c>
      <c r="F92" s="36" t="s">
        <v>68</v>
      </c>
      <c r="G92" s="34" cm="1">
        <f t="array" ref="G92">SUM(--(MID(E92,_xlfn.SEQUENCE(LEN(E92)),1)&lt;&gt;MID(F92,_xlfn.SEQUENCE(LEN(F92)),1)))</f>
        <v>2</v>
      </c>
    </row>
    <row r="93" spans="1:7" x14ac:dyDescent="0.25">
      <c r="A93" s="6">
        <v>4</v>
      </c>
      <c r="B93" s="6">
        <v>16</v>
      </c>
      <c r="C93" s="6">
        <v>0.4</v>
      </c>
      <c r="D93" s="31"/>
      <c r="E93" s="36" t="s">
        <v>42</v>
      </c>
      <c r="F93" s="36" t="s">
        <v>42</v>
      </c>
      <c r="G93" s="34" cm="1">
        <f t="array" ref="G93">SUM(--(MID(E93,_xlfn.SEQUENCE(LEN(E93)),1)&lt;&gt;MID(F93,_xlfn.SEQUENCE(LEN(F93)),1)))</f>
        <v>0</v>
      </c>
    </row>
    <row r="94" spans="1:7" x14ac:dyDescent="0.25">
      <c r="A94" s="6">
        <v>4</v>
      </c>
      <c r="B94" s="6">
        <v>16</v>
      </c>
      <c r="C94" s="6">
        <v>0.4</v>
      </c>
      <c r="D94" s="31"/>
      <c r="E94" s="36" t="s">
        <v>42</v>
      </c>
      <c r="F94" s="36" t="s">
        <v>68</v>
      </c>
      <c r="G94" s="34" cm="1">
        <f t="array" ref="G94">SUM(--(MID(E94,_xlfn.SEQUENCE(LEN(E94)),1)&lt;&gt;MID(F94,_xlfn.SEQUENCE(LEN(F94)),1)))</f>
        <v>2</v>
      </c>
    </row>
    <row r="95" spans="1:7" x14ac:dyDescent="0.25">
      <c r="A95" s="6">
        <v>4</v>
      </c>
      <c r="B95" s="6">
        <v>16</v>
      </c>
      <c r="C95" s="6">
        <v>0.4</v>
      </c>
      <c r="D95" s="31"/>
      <c r="E95" s="36" t="s">
        <v>42</v>
      </c>
      <c r="F95" s="36" t="s">
        <v>62</v>
      </c>
      <c r="G95" s="34" cm="1">
        <f t="array" ref="G95">SUM(--(MID(E95,_xlfn.SEQUENCE(LEN(E95)),1)&lt;&gt;MID(F95,_xlfn.SEQUENCE(LEN(F95)),1)))</f>
        <v>1</v>
      </c>
    </row>
    <row r="96" spans="1:7" x14ac:dyDescent="0.25">
      <c r="A96" s="6">
        <v>4</v>
      </c>
      <c r="B96" s="6">
        <v>16</v>
      </c>
      <c r="C96" s="6">
        <v>0.4</v>
      </c>
      <c r="D96" s="31"/>
      <c r="E96" s="36" t="s">
        <v>42</v>
      </c>
      <c r="F96" s="36" t="s">
        <v>70</v>
      </c>
      <c r="G96" s="34" cm="1">
        <f t="array" ref="G96">SUM(--(MID(E96,_xlfn.SEQUENCE(LEN(E96)),1)&lt;&gt;MID(F96,_xlfn.SEQUENCE(LEN(F96)),1)))</f>
        <v>2</v>
      </c>
    </row>
    <row r="97" spans="1:7" x14ac:dyDescent="0.25">
      <c r="A97" s="6">
        <v>4</v>
      </c>
      <c r="B97" s="6">
        <v>16</v>
      </c>
      <c r="C97" s="6">
        <v>0.4</v>
      </c>
      <c r="D97" s="31"/>
      <c r="E97" s="36" t="s">
        <v>42</v>
      </c>
      <c r="F97" s="36" t="s">
        <v>48</v>
      </c>
      <c r="G97" s="34" cm="1">
        <f t="array" ref="G97">SUM(--(MID(E97,_xlfn.SEQUENCE(LEN(E97)),1)&lt;&gt;MID(F97,_xlfn.SEQUENCE(LEN(F97)),1)))</f>
        <v>3</v>
      </c>
    </row>
    <row r="98" spans="1:7" x14ac:dyDescent="0.25">
      <c r="A98" s="6">
        <v>4</v>
      </c>
      <c r="B98" s="6">
        <v>16</v>
      </c>
      <c r="C98" s="6">
        <v>0.4</v>
      </c>
      <c r="D98" s="31"/>
      <c r="E98" s="36" t="s">
        <v>42</v>
      </c>
      <c r="F98" s="36" t="s">
        <v>71</v>
      </c>
      <c r="G98" s="34" cm="1">
        <f t="array" ref="G98">SUM(--(MID(E98,_xlfn.SEQUENCE(LEN(E98)),1)&lt;&gt;MID(F98,_xlfn.SEQUENCE(LEN(F98)),1)))</f>
        <v>1</v>
      </c>
    </row>
    <row r="99" spans="1:7" x14ac:dyDescent="0.25">
      <c r="A99" s="6">
        <v>4</v>
      </c>
      <c r="B99" s="6">
        <v>16</v>
      </c>
      <c r="C99" s="6">
        <v>0.4</v>
      </c>
      <c r="D99" s="31"/>
      <c r="E99" s="36" t="s">
        <v>42</v>
      </c>
      <c r="F99" s="36" t="s">
        <v>42</v>
      </c>
      <c r="G99" s="34" cm="1">
        <f t="array" ref="G99">SUM(--(MID(E99,_xlfn.SEQUENCE(LEN(E99)),1)&lt;&gt;MID(F99,_xlfn.SEQUENCE(LEN(F99)),1)))</f>
        <v>0</v>
      </c>
    </row>
    <row r="100" spans="1:7" x14ac:dyDescent="0.25">
      <c r="A100" s="6">
        <v>4</v>
      </c>
      <c r="B100" s="6">
        <v>16</v>
      </c>
      <c r="C100" s="6">
        <v>0.4</v>
      </c>
      <c r="D100" s="31"/>
      <c r="E100" s="36" t="s">
        <v>42</v>
      </c>
      <c r="F100" s="36" t="s">
        <v>62</v>
      </c>
      <c r="G100" s="34" cm="1">
        <f t="array" ref="G100">SUM(--(MID(E100,_xlfn.SEQUENCE(LEN(E100)),1)&lt;&gt;MID(F100,_xlfn.SEQUENCE(LEN(F100)),1)))</f>
        <v>1</v>
      </c>
    </row>
    <row r="101" spans="1:7" x14ac:dyDescent="0.25">
      <c r="A101" s="6">
        <v>4</v>
      </c>
      <c r="B101" s="6">
        <v>16</v>
      </c>
      <c r="C101" s="6">
        <v>0.4</v>
      </c>
      <c r="D101" s="31"/>
      <c r="E101" s="36" t="s">
        <v>42</v>
      </c>
      <c r="F101" s="36" t="s">
        <v>42</v>
      </c>
      <c r="G101" s="34" cm="1">
        <f t="array" ref="G101">SUM(--(MID(E101,_xlfn.SEQUENCE(LEN(E101)),1)&lt;&gt;MID(F101,_xlfn.SEQUENCE(LEN(F101)),1)))</f>
        <v>0</v>
      </c>
    </row>
    <row r="102" spans="1:7" x14ac:dyDescent="0.25">
      <c r="A102" s="32">
        <v>4</v>
      </c>
      <c r="B102" s="32">
        <v>16</v>
      </c>
      <c r="C102" s="32">
        <v>0.4</v>
      </c>
      <c r="D102" s="33"/>
      <c r="E102" s="32">
        <v>1111</v>
      </c>
      <c r="F102" s="37" t="s">
        <v>72</v>
      </c>
      <c r="G102" s="34" cm="1">
        <f t="array" ref="G102">SUM(--(MID(E102,_xlfn.SEQUENCE(LEN(E102)),1)&lt;&gt;MID(F102,_xlfn.SEQUENCE(LEN(F102)),1)))</f>
        <v>1</v>
      </c>
    </row>
    <row r="103" spans="1:7" x14ac:dyDescent="0.25">
      <c r="A103" s="32">
        <v>4</v>
      </c>
      <c r="B103" s="32">
        <v>16</v>
      </c>
      <c r="C103" s="32">
        <v>0.4</v>
      </c>
      <c r="D103" s="33"/>
      <c r="E103" s="32">
        <v>1111</v>
      </c>
      <c r="F103" s="37" t="s">
        <v>72</v>
      </c>
      <c r="G103" s="34" cm="1">
        <f t="array" ref="G103">SUM(--(MID(E103,_xlfn.SEQUENCE(LEN(E103)),1)&lt;&gt;MID(F103,_xlfn.SEQUENCE(LEN(F103)),1)))</f>
        <v>1</v>
      </c>
    </row>
    <row r="104" spans="1:7" x14ac:dyDescent="0.25">
      <c r="A104" s="32">
        <v>4</v>
      </c>
      <c r="B104" s="32">
        <v>16</v>
      </c>
      <c r="C104" s="32">
        <v>0.4</v>
      </c>
      <c r="D104" s="33"/>
      <c r="E104" s="32">
        <v>1111</v>
      </c>
      <c r="F104" s="37" t="s">
        <v>72</v>
      </c>
      <c r="G104" s="34" cm="1">
        <f t="array" ref="G104">SUM(--(MID(E104,_xlfn.SEQUENCE(LEN(E104)),1)&lt;&gt;MID(F104,_xlfn.SEQUENCE(LEN(F104)),1)))</f>
        <v>1</v>
      </c>
    </row>
    <row r="105" spans="1:7" x14ac:dyDescent="0.25">
      <c r="A105" s="32">
        <v>4</v>
      </c>
      <c r="B105" s="32">
        <v>16</v>
      </c>
      <c r="C105" s="32">
        <v>0.4</v>
      </c>
      <c r="D105" s="33"/>
      <c r="E105" s="32">
        <v>1111</v>
      </c>
      <c r="F105" s="37" t="s">
        <v>44</v>
      </c>
      <c r="G105" s="34" cm="1">
        <f t="array" ref="G105">SUM(--(MID(E105,_xlfn.SEQUENCE(LEN(E105)),1)&lt;&gt;MID(F105,_xlfn.SEQUENCE(LEN(F105)),1)))</f>
        <v>0</v>
      </c>
    </row>
    <row r="106" spans="1:7" x14ac:dyDescent="0.25">
      <c r="A106" s="32">
        <v>4</v>
      </c>
      <c r="B106" s="32">
        <v>16</v>
      </c>
      <c r="C106" s="32">
        <v>0.4</v>
      </c>
      <c r="D106" s="33"/>
      <c r="E106" s="32">
        <v>1111</v>
      </c>
      <c r="F106" s="37" t="s">
        <v>48</v>
      </c>
      <c r="G106" s="34" cm="1">
        <f t="array" ref="G106">SUM(--(MID(E106,_xlfn.SEQUENCE(LEN(E106)),1)&lt;&gt;MID(F106,_xlfn.SEQUENCE(LEN(F106)),1)))</f>
        <v>1</v>
      </c>
    </row>
    <row r="107" spans="1:7" x14ac:dyDescent="0.25">
      <c r="A107" s="32">
        <v>4</v>
      </c>
      <c r="B107" s="32">
        <v>16</v>
      </c>
      <c r="C107" s="32">
        <v>0.4</v>
      </c>
      <c r="D107" s="33"/>
      <c r="E107" s="32">
        <v>1111</v>
      </c>
      <c r="F107" s="37" t="s">
        <v>73</v>
      </c>
      <c r="G107" s="34" cm="1">
        <f t="array" ref="G107">SUM(--(MID(E107,_xlfn.SEQUENCE(LEN(E107)),1)&lt;&gt;MID(F107,_xlfn.SEQUENCE(LEN(F107)),1)))</f>
        <v>1</v>
      </c>
    </row>
    <row r="108" spans="1:7" x14ac:dyDescent="0.25">
      <c r="A108" s="32">
        <v>4</v>
      </c>
      <c r="B108" s="32">
        <v>16</v>
      </c>
      <c r="C108" s="32">
        <v>0.4</v>
      </c>
      <c r="D108" s="33"/>
      <c r="E108" s="32">
        <v>1111</v>
      </c>
      <c r="F108" s="37" t="s">
        <v>48</v>
      </c>
      <c r="G108" s="34" cm="1">
        <f t="array" ref="G108">SUM(--(MID(E108,_xlfn.SEQUENCE(LEN(E108)),1)&lt;&gt;MID(F108,_xlfn.SEQUENCE(LEN(F108)),1)))</f>
        <v>1</v>
      </c>
    </row>
    <row r="109" spans="1:7" x14ac:dyDescent="0.25">
      <c r="A109" s="32">
        <v>4</v>
      </c>
      <c r="B109" s="32">
        <v>16</v>
      </c>
      <c r="C109" s="32">
        <v>0.4</v>
      </c>
      <c r="D109" s="33"/>
      <c r="E109" s="32">
        <v>1111</v>
      </c>
      <c r="F109" s="37" t="s">
        <v>72</v>
      </c>
      <c r="G109" s="34" cm="1">
        <f t="array" ref="G109">SUM(--(MID(E109,_xlfn.SEQUENCE(LEN(E109)),1)&lt;&gt;MID(F109,_xlfn.SEQUENCE(LEN(F109)),1)))</f>
        <v>1</v>
      </c>
    </row>
    <row r="110" spans="1:7" x14ac:dyDescent="0.25">
      <c r="A110" s="32">
        <v>4</v>
      </c>
      <c r="B110" s="32">
        <v>16</v>
      </c>
      <c r="C110" s="32">
        <v>0.4</v>
      </c>
      <c r="D110" s="33"/>
      <c r="E110" s="32">
        <v>1111</v>
      </c>
      <c r="F110" s="37" t="s">
        <v>73</v>
      </c>
      <c r="G110" s="34" cm="1">
        <f t="array" ref="G110">SUM(--(MID(E110,_xlfn.SEQUENCE(LEN(E110)),1)&lt;&gt;MID(F110,_xlfn.SEQUENCE(LEN(F110)),1)))</f>
        <v>1</v>
      </c>
    </row>
    <row r="111" spans="1:7" x14ac:dyDescent="0.25">
      <c r="A111" s="32">
        <v>4</v>
      </c>
      <c r="B111" s="32">
        <v>16</v>
      </c>
      <c r="C111" s="32">
        <v>0.4</v>
      </c>
      <c r="D111" s="33"/>
      <c r="E111" s="32">
        <v>1111</v>
      </c>
      <c r="F111" s="37" t="s">
        <v>73</v>
      </c>
      <c r="G111" s="34" cm="1">
        <f t="array" ref="G111">SUM(--(MID(E111,_xlfn.SEQUENCE(LEN(E111)),1)&lt;&gt;MID(F111,_xlfn.SEQUENCE(LEN(F111)),1)))</f>
        <v>1</v>
      </c>
    </row>
    <row r="112" spans="1:7" x14ac:dyDescent="0.25">
      <c r="A112" s="32">
        <v>4</v>
      </c>
      <c r="B112" s="32">
        <v>16</v>
      </c>
      <c r="C112" s="32">
        <v>0.4</v>
      </c>
      <c r="D112" s="33"/>
      <c r="E112" s="32">
        <v>1111</v>
      </c>
      <c r="F112" s="37" t="s">
        <v>62</v>
      </c>
      <c r="G112" s="34" cm="1">
        <f t="array" ref="G112">SUM(--(MID(E112,_xlfn.SEQUENCE(LEN(E112)),1)&lt;&gt;MID(F112,_xlfn.SEQUENCE(LEN(F112)),1)))</f>
        <v>3</v>
      </c>
    </row>
    <row r="113" spans="1:7" x14ac:dyDescent="0.25">
      <c r="A113" s="6">
        <v>4</v>
      </c>
      <c r="B113" s="6">
        <v>16</v>
      </c>
      <c r="C113" s="6">
        <v>0.5</v>
      </c>
      <c r="D113" s="31"/>
      <c r="E113" s="36" t="s">
        <v>42</v>
      </c>
      <c r="F113" s="36" t="s">
        <v>72</v>
      </c>
      <c r="G113" s="34" cm="1">
        <f t="array" ref="G113">SUM(--(MID(E113,_xlfn.SEQUENCE(LEN(E113)),1)&lt;&gt;MID(F113,_xlfn.SEQUENCE(LEN(F113)),1)))</f>
        <v>3</v>
      </c>
    </row>
    <row r="114" spans="1:7" x14ac:dyDescent="0.25">
      <c r="A114" s="6">
        <v>4</v>
      </c>
      <c r="B114" s="6">
        <v>16</v>
      </c>
      <c r="C114" s="6">
        <v>0.5</v>
      </c>
      <c r="D114" s="31"/>
      <c r="E114" s="36" t="s">
        <v>42</v>
      </c>
      <c r="F114" s="36" t="s">
        <v>68</v>
      </c>
      <c r="G114" s="34" cm="1">
        <f t="array" ref="G114">SUM(--(MID(E114,_xlfn.SEQUENCE(LEN(E114)),1)&lt;&gt;MID(F114,_xlfn.SEQUENCE(LEN(F114)),1)))</f>
        <v>2</v>
      </c>
    </row>
    <row r="115" spans="1:7" x14ac:dyDescent="0.25">
      <c r="A115" s="6">
        <v>4</v>
      </c>
      <c r="B115" s="6">
        <v>16</v>
      </c>
      <c r="C115" s="6">
        <v>0.5</v>
      </c>
      <c r="D115" s="31"/>
      <c r="E115" s="36" t="s">
        <v>42</v>
      </c>
      <c r="F115" s="36" t="s">
        <v>62</v>
      </c>
      <c r="G115" s="34" cm="1">
        <f t="array" ref="G115">SUM(--(MID(E115,_xlfn.SEQUENCE(LEN(E115)),1)&lt;&gt;MID(F115,_xlfn.SEQUENCE(LEN(F115)),1)))</f>
        <v>1</v>
      </c>
    </row>
    <row r="116" spans="1:7" x14ac:dyDescent="0.25">
      <c r="A116" s="6">
        <v>4</v>
      </c>
      <c r="B116" s="6">
        <v>16</v>
      </c>
      <c r="C116" s="6">
        <v>0.5</v>
      </c>
      <c r="D116" s="31"/>
      <c r="E116" s="36" t="s">
        <v>42</v>
      </c>
      <c r="F116" s="36" t="s">
        <v>46</v>
      </c>
      <c r="G116" s="34" cm="1">
        <f t="array" ref="G116">SUM(--(MID(E116,_xlfn.SEQUENCE(LEN(E116)),1)&lt;&gt;MID(F116,_xlfn.SEQUENCE(LEN(F116)),1)))</f>
        <v>2</v>
      </c>
    </row>
    <row r="117" spans="1:7" x14ac:dyDescent="0.25">
      <c r="A117" s="6">
        <v>4</v>
      </c>
      <c r="B117" s="6">
        <v>16</v>
      </c>
      <c r="C117" s="6">
        <v>0.5</v>
      </c>
      <c r="D117" s="31"/>
      <c r="E117" s="36" t="s">
        <v>42</v>
      </c>
      <c r="F117" s="36" t="s">
        <v>65</v>
      </c>
      <c r="G117" s="34" cm="1">
        <f t="array" ref="G117">SUM(--(MID(E117,_xlfn.SEQUENCE(LEN(E117)),1)&lt;&gt;MID(F117,_xlfn.SEQUENCE(LEN(F117)),1)))</f>
        <v>2</v>
      </c>
    </row>
    <row r="118" spans="1:7" x14ac:dyDescent="0.25">
      <c r="A118" s="6">
        <v>4</v>
      </c>
      <c r="B118" s="6">
        <v>16</v>
      </c>
      <c r="C118" s="6">
        <v>0.5</v>
      </c>
      <c r="D118" s="31"/>
      <c r="E118" s="36" t="s">
        <v>42</v>
      </c>
      <c r="F118" s="36" t="s">
        <v>46</v>
      </c>
      <c r="G118" s="34" cm="1">
        <f t="array" ref="G118">SUM(--(MID(E118,_xlfn.SEQUENCE(LEN(E118)),1)&lt;&gt;MID(F118,_xlfn.SEQUENCE(LEN(F118)),1)))</f>
        <v>2</v>
      </c>
    </row>
    <row r="119" spans="1:7" x14ac:dyDescent="0.25">
      <c r="A119" s="6">
        <v>4</v>
      </c>
      <c r="B119" s="6">
        <v>16</v>
      </c>
      <c r="C119" s="6">
        <v>0.5</v>
      </c>
      <c r="D119" s="31"/>
      <c r="E119" s="36" t="s">
        <v>42</v>
      </c>
      <c r="F119" s="36" t="s">
        <v>66</v>
      </c>
      <c r="G119" s="34" cm="1">
        <f t="array" ref="G119">SUM(--(MID(E119,_xlfn.SEQUENCE(LEN(E119)),1)&lt;&gt;MID(F119,_xlfn.SEQUENCE(LEN(F119)),1)))</f>
        <v>1</v>
      </c>
    </row>
    <row r="120" spans="1:7" x14ac:dyDescent="0.25">
      <c r="A120" s="6">
        <v>4</v>
      </c>
      <c r="B120" s="6">
        <v>16</v>
      </c>
      <c r="C120" s="6">
        <v>0.5</v>
      </c>
      <c r="D120" s="31"/>
      <c r="E120" s="36" t="s">
        <v>42</v>
      </c>
      <c r="F120" s="36" t="s">
        <v>48</v>
      </c>
      <c r="G120" s="34" cm="1">
        <f t="array" ref="G120">SUM(--(MID(E120,_xlfn.SEQUENCE(LEN(E120)),1)&lt;&gt;MID(F120,_xlfn.SEQUENCE(LEN(F120)),1)))</f>
        <v>3</v>
      </c>
    </row>
    <row r="121" spans="1:7" x14ac:dyDescent="0.25">
      <c r="A121" s="6">
        <v>4</v>
      </c>
      <c r="B121" s="6">
        <v>16</v>
      </c>
      <c r="C121" s="6">
        <v>0.5</v>
      </c>
      <c r="D121" s="31"/>
      <c r="E121" s="36" t="s">
        <v>42</v>
      </c>
      <c r="F121" s="36" t="s">
        <v>70</v>
      </c>
      <c r="G121" s="34" cm="1">
        <f t="array" ref="G121">SUM(--(MID(E121,_xlfn.SEQUENCE(LEN(E121)),1)&lt;&gt;MID(F121,_xlfn.SEQUENCE(LEN(F121)),1)))</f>
        <v>2</v>
      </c>
    </row>
    <row r="122" spans="1:7" x14ac:dyDescent="0.25">
      <c r="A122" s="6">
        <v>4</v>
      </c>
      <c r="B122" s="6">
        <v>16</v>
      </c>
      <c r="C122" s="6">
        <v>0.5</v>
      </c>
      <c r="D122" s="31"/>
      <c r="E122" s="36" t="s">
        <v>42</v>
      </c>
      <c r="F122" s="36" t="s">
        <v>72</v>
      </c>
      <c r="G122" s="34" cm="1">
        <f t="array" ref="G122">SUM(--(MID(E122,_xlfn.SEQUENCE(LEN(E122)),1)&lt;&gt;MID(F122,_xlfn.SEQUENCE(LEN(F122)),1)))</f>
        <v>3</v>
      </c>
    </row>
    <row r="123" spans="1:7" x14ac:dyDescent="0.25">
      <c r="A123" s="6">
        <v>4</v>
      </c>
      <c r="B123" s="6">
        <v>16</v>
      </c>
      <c r="C123" s="6">
        <v>0.5</v>
      </c>
      <c r="D123" s="31"/>
      <c r="E123" s="36" t="s">
        <v>42</v>
      </c>
      <c r="F123" s="36" t="s">
        <v>67</v>
      </c>
      <c r="G123" s="34" cm="1">
        <f t="array" ref="G123">SUM(--(MID(E123,_xlfn.SEQUENCE(LEN(E123)),1)&lt;&gt;MID(F123,_xlfn.SEQUENCE(LEN(F123)),1)))</f>
        <v>3</v>
      </c>
    </row>
    <row r="124" spans="1:7" x14ac:dyDescent="0.25">
      <c r="A124" s="32">
        <v>4</v>
      </c>
      <c r="B124" s="32">
        <v>16</v>
      </c>
      <c r="C124" s="32">
        <v>0.5</v>
      </c>
      <c r="D124" s="33"/>
      <c r="E124" s="32">
        <v>1111</v>
      </c>
      <c r="F124" s="37" t="s">
        <v>63</v>
      </c>
      <c r="G124" s="34" cm="1">
        <f t="array" ref="G124">SUM(--(MID(E124,_xlfn.SEQUENCE(LEN(E124)),1)&lt;&gt;MID(F124,_xlfn.SEQUENCE(LEN(F124)),1)))</f>
        <v>3</v>
      </c>
    </row>
    <row r="125" spans="1:7" x14ac:dyDescent="0.25">
      <c r="A125" s="32">
        <v>4</v>
      </c>
      <c r="B125" s="32">
        <v>16</v>
      </c>
      <c r="C125" s="32">
        <v>0.5</v>
      </c>
      <c r="D125" s="33"/>
      <c r="E125" s="32">
        <v>1111</v>
      </c>
      <c r="F125" s="37" t="s">
        <v>48</v>
      </c>
      <c r="G125" s="34" cm="1">
        <f t="array" ref="G125">SUM(--(MID(E125,_xlfn.SEQUENCE(LEN(E125)),1)&lt;&gt;MID(F125,_xlfn.SEQUENCE(LEN(F125)),1)))</f>
        <v>1</v>
      </c>
    </row>
    <row r="126" spans="1:7" x14ac:dyDescent="0.25">
      <c r="A126" s="32">
        <v>4</v>
      </c>
      <c r="B126" s="32">
        <v>16</v>
      </c>
      <c r="C126" s="32">
        <v>0.5</v>
      </c>
      <c r="D126" s="33"/>
      <c r="E126" s="32">
        <v>1111</v>
      </c>
      <c r="F126" s="37" t="s">
        <v>69</v>
      </c>
      <c r="G126" s="34" cm="1">
        <f t="array" ref="G126">SUM(--(MID(E126,_xlfn.SEQUENCE(LEN(E126)),1)&lt;&gt;MID(F126,_xlfn.SEQUENCE(LEN(F126)),1)))</f>
        <v>2</v>
      </c>
    </row>
    <row r="127" spans="1:7" x14ac:dyDescent="0.25">
      <c r="A127" s="32">
        <v>4</v>
      </c>
      <c r="B127" s="32">
        <v>16</v>
      </c>
      <c r="C127" s="32">
        <v>0.5</v>
      </c>
      <c r="D127" s="33"/>
      <c r="E127" s="32">
        <v>1111</v>
      </c>
      <c r="F127" s="37" t="s">
        <v>67</v>
      </c>
      <c r="G127" s="34" cm="1">
        <f t="array" ref="G127">SUM(--(MID(E127,_xlfn.SEQUENCE(LEN(E127)),1)&lt;&gt;MID(F127,_xlfn.SEQUENCE(LEN(F127)),1)))</f>
        <v>1</v>
      </c>
    </row>
    <row r="128" spans="1:7" x14ac:dyDescent="0.25">
      <c r="A128" s="32">
        <v>4</v>
      </c>
      <c r="B128" s="32">
        <v>16</v>
      </c>
      <c r="C128" s="32">
        <v>0.5</v>
      </c>
      <c r="D128" s="33"/>
      <c r="E128" s="32">
        <v>1111</v>
      </c>
      <c r="F128" s="37" t="s">
        <v>66</v>
      </c>
      <c r="G128" s="34" cm="1">
        <f t="array" ref="G128">SUM(--(MID(E128,_xlfn.SEQUENCE(LEN(E128)),1)&lt;&gt;MID(F128,_xlfn.SEQUENCE(LEN(F128)),1)))</f>
        <v>3</v>
      </c>
    </row>
    <row r="129" spans="1:7" x14ac:dyDescent="0.25">
      <c r="A129" s="32">
        <v>4</v>
      </c>
      <c r="B129" s="32">
        <v>16</v>
      </c>
      <c r="C129" s="32">
        <v>0.5</v>
      </c>
      <c r="D129" s="33"/>
      <c r="E129" s="32">
        <v>1111</v>
      </c>
      <c r="F129" s="37" t="s">
        <v>64</v>
      </c>
      <c r="G129" s="34" cm="1">
        <f t="array" ref="G129">SUM(--(MID(E129,_xlfn.SEQUENCE(LEN(E129)),1)&lt;&gt;MID(F129,_xlfn.SEQUENCE(LEN(F129)),1)))</f>
        <v>2</v>
      </c>
    </row>
    <row r="130" spans="1:7" x14ac:dyDescent="0.25">
      <c r="A130" s="32">
        <v>4</v>
      </c>
      <c r="B130" s="32">
        <v>16</v>
      </c>
      <c r="C130" s="32">
        <v>0.5</v>
      </c>
      <c r="D130" s="33"/>
      <c r="E130" s="32">
        <v>1111</v>
      </c>
      <c r="F130" s="37" t="s">
        <v>72</v>
      </c>
      <c r="G130" s="34" cm="1">
        <f t="array" ref="G130">SUM(--(MID(E130,_xlfn.SEQUENCE(LEN(E130)),1)&lt;&gt;MID(F130,_xlfn.SEQUENCE(LEN(F130)),1)))</f>
        <v>1</v>
      </c>
    </row>
    <row r="131" spans="1:7" x14ac:dyDescent="0.25">
      <c r="A131" s="32">
        <v>4</v>
      </c>
      <c r="B131" s="32">
        <v>16</v>
      </c>
      <c r="C131" s="32">
        <v>0.5</v>
      </c>
      <c r="D131" s="33"/>
      <c r="E131" s="32">
        <v>1111</v>
      </c>
      <c r="F131" s="37" t="s">
        <v>70</v>
      </c>
      <c r="G131" s="34" cm="1">
        <f t="array" ref="G131">SUM(--(MID(E131,_xlfn.SEQUENCE(LEN(E131)),1)&lt;&gt;MID(F131,_xlfn.SEQUENCE(LEN(F131)),1)))</f>
        <v>2</v>
      </c>
    </row>
    <row r="132" spans="1:7" x14ac:dyDescent="0.25">
      <c r="A132" s="32">
        <v>4</v>
      </c>
      <c r="B132" s="32">
        <v>16</v>
      </c>
      <c r="C132" s="32">
        <v>0.5</v>
      </c>
      <c r="D132" s="33"/>
      <c r="E132" s="32">
        <v>1111</v>
      </c>
      <c r="F132" s="37" t="s">
        <v>70</v>
      </c>
      <c r="G132" s="34" cm="1">
        <f t="array" ref="G132">SUM(--(MID(E132,_xlfn.SEQUENCE(LEN(E132)),1)&lt;&gt;MID(F132,_xlfn.SEQUENCE(LEN(F132)),1)))</f>
        <v>2</v>
      </c>
    </row>
    <row r="133" spans="1:7" x14ac:dyDescent="0.25">
      <c r="A133" s="32">
        <v>4</v>
      </c>
      <c r="B133" s="32">
        <v>16</v>
      </c>
      <c r="C133" s="32">
        <v>0.5</v>
      </c>
      <c r="D133" s="33"/>
      <c r="E133" s="32">
        <v>1111</v>
      </c>
      <c r="F133" s="37" t="s">
        <v>70</v>
      </c>
      <c r="G133" s="34" cm="1">
        <f t="array" ref="G133">SUM(--(MID(E133,_xlfn.SEQUENCE(LEN(E133)),1)&lt;&gt;MID(F133,_xlfn.SEQUENCE(LEN(F133)),1)))</f>
        <v>2</v>
      </c>
    </row>
    <row r="134" spans="1:7" x14ac:dyDescent="0.25">
      <c r="A134" s="32">
        <v>4</v>
      </c>
      <c r="B134" s="32">
        <v>16</v>
      </c>
      <c r="C134" s="32">
        <v>0.5</v>
      </c>
      <c r="D134" s="33"/>
      <c r="E134" s="32">
        <v>1111</v>
      </c>
      <c r="F134" s="37" t="s">
        <v>70</v>
      </c>
      <c r="G134" s="34" cm="1">
        <f t="array" ref="G134">SUM(--(MID(E134,_xlfn.SEQUENCE(LEN(E134)),1)&lt;&gt;MID(F134,_xlfn.SEQUENCE(LEN(F134)),1)))</f>
        <v>2</v>
      </c>
    </row>
    <row r="135" spans="1:7" x14ac:dyDescent="0.25">
      <c r="D135" s="12"/>
    </row>
    <row r="136" spans="1:7" x14ac:dyDescent="0.25">
      <c r="D136" s="12"/>
    </row>
    <row r="137" spans="1:7" x14ac:dyDescent="0.25">
      <c r="D137" s="12"/>
    </row>
    <row r="138" spans="1:7" x14ac:dyDescent="0.25">
      <c r="D138" s="12"/>
    </row>
    <row r="139" spans="1:7" x14ac:dyDescent="0.25">
      <c r="D139" s="12"/>
    </row>
    <row r="140" spans="1:7" x14ac:dyDescent="0.25">
      <c r="D140" s="12"/>
    </row>
    <row r="141" spans="1:7" x14ac:dyDescent="0.25">
      <c r="D141" s="12"/>
    </row>
    <row r="142" spans="1:7" x14ac:dyDescent="0.25">
      <c r="D142" s="12"/>
    </row>
    <row r="143" spans="1:7" x14ac:dyDescent="0.25">
      <c r="D143" s="12"/>
    </row>
    <row r="144" spans="1:7" x14ac:dyDescent="0.25">
      <c r="D144" s="12"/>
    </row>
    <row r="145" spans="4:4" x14ac:dyDescent="0.25">
      <c r="D145" s="12"/>
    </row>
    <row r="146" spans="4:4" x14ac:dyDescent="0.25">
      <c r="D146" s="12"/>
    </row>
    <row r="147" spans="4:4" x14ac:dyDescent="0.25">
      <c r="D147" s="12"/>
    </row>
    <row r="148" spans="4:4" x14ac:dyDescent="0.25">
      <c r="D148" s="12"/>
    </row>
    <row r="149" spans="4:4" x14ac:dyDescent="0.25">
      <c r="D149" s="12"/>
    </row>
    <row r="150" spans="4:4" x14ac:dyDescent="0.25">
      <c r="D150" s="12"/>
    </row>
    <row r="151" spans="4:4" x14ac:dyDescent="0.25">
      <c r="D151" s="12"/>
    </row>
    <row r="152" spans="4:4" x14ac:dyDescent="0.25">
      <c r="D152" s="12"/>
    </row>
    <row r="153" spans="4:4" x14ac:dyDescent="0.25">
      <c r="D153" s="12"/>
    </row>
    <row r="154" spans="4:4" x14ac:dyDescent="0.25">
      <c r="D154" s="12"/>
    </row>
    <row r="155" spans="4:4" x14ac:dyDescent="0.25">
      <c r="D155" s="12"/>
    </row>
    <row r="156" spans="4:4" x14ac:dyDescent="0.25">
      <c r="D156" s="12"/>
    </row>
    <row r="157" spans="4:4" x14ac:dyDescent="0.25">
      <c r="D157" s="12"/>
    </row>
    <row r="158" spans="4:4" x14ac:dyDescent="0.25">
      <c r="D158" s="12"/>
    </row>
    <row r="159" spans="4:4" x14ac:dyDescent="0.25">
      <c r="D159" s="12"/>
    </row>
    <row r="160" spans="4:4" x14ac:dyDescent="0.25">
      <c r="D160" s="12"/>
    </row>
    <row r="161" spans="4:4" x14ac:dyDescent="0.25">
      <c r="D161" s="12"/>
    </row>
    <row r="162" spans="4:4" x14ac:dyDescent="0.25">
      <c r="D162" s="12"/>
    </row>
    <row r="163" spans="4:4" x14ac:dyDescent="0.25">
      <c r="D163" s="12"/>
    </row>
    <row r="164" spans="4:4" x14ac:dyDescent="0.25">
      <c r="D164" s="12"/>
    </row>
    <row r="165" spans="4:4" x14ac:dyDescent="0.25">
      <c r="D165" s="12"/>
    </row>
    <row r="166" spans="4:4" x14ac:dyDescent="0.25">
      <c r="D166" s="12"/>
    </row>
    <row r="167" spans="4:4" x14ac:dyDescent="0.25">
      <c r="D167" s="12"/>
    </row>
    <row r="168" spans="4:4" x14ac:dyDescent="0.25">
      <c r="D168" s="12"/>
    </row>
    <row r="169" spans="4:4" x14ac:dyDescent="0.25">
      <c r="D169" s="12"/>
    </row>
    <row r="170" spans="4:4" x14ac:dyDescent="0.25">
      <c r="D170" s="12"/>
    </row>
    <row r="171" spans="4:4" x14ac:dyDescent="0.25">
      <c r="D171" s="12"/>
    </row>
    <row r="172" spans="4:4" x14ac:dyDescent="0.25">
      <c r="D172" s="12"/>
    </row>
    <row r="173" spans="4:4" x14ac:dyDescent="0.25">
      <c r="D173" s="12"/>
    </row>
    <row r="174" spans="4:4" x14ac:dyDescent="0.25">
      <c r="D174" s="12"/>
    </row>
    <row r="175" spans="4:4" x14ac:dyDescent="0.25">
      <c r="D175" s="12"/>
    </row>
    <row r="176" spans="4:4" x14ac:dyDescent="0.25">
      <c r="D176" s="12"/>
    </row>
    <row r="177" spans="4:4" x14ac:dyDescent="0.25">
      <c r="D177" s="12"/>
    </row>
    <row r="178" spans="4:4" x14ac:dyDescent="0.25">
      <c r="D178" s="12"/>
    </row>
    <row r="179" spans="4:4" x14ac:dyDescent="0.25">
      <c r="D179" s="12"/>
    </row>
    <row r="180" spans="4:4" x14ac:dyDescent="0.25">
      <c r="D180" s="12"/>
    </row>
    <row r="181" spans="4:4" x14ac:dyDescent="0.25">
      <c r="D181" s="12"/>
    </row>
    <row r="182" spans="4:4" x14ac:dyDescent="0.25">
      <c r="D182" s="12"/>
    </row>
    <row r="183" spans="4:4" x14ac:dyDescent="0.25">
      <c r="D183" s="12"/>
    </row>
    <row r="184" spans="4:4" x14ac:dyDescent="0.25">
      <c r="D184" s="12"/>
    </row>
    <row r="185" spans="4:4" x14ac:dyDescent="0.25">
      <c r="D185" s="12"/>
    </row>
    <row r="186" spans="4:4" x14ac:dyDescent="0.25">
      <c r="D186" s="12"/>
    </row>
    <row r="187" spans="4:4" x14ac:dyDescent="0.25">
      <c r="D187" s="12"/>
    </row>
    <row r="188" spans="4:4" x14ac:dyDescent="0.25">
      <c r="D188" s="12"/>
    </row>
    <row r="189" spans="4:4" x14ac:dyDescent="0.25">
      <c r="D189" s="12"/>
    </row>
    <row r="190" spans="4:4" x14ac:dyDescent="0.25">
      <c r="D190" s="12"/>
    </row>
    <row r="191" spans="4:4" x14ac:dyDescent="0.25">
      <c r="D191" s="12"/>
    </row>
    <row r="192" spans="4:4" x14ac:dyDescent="0.25">
      <c r="D192" s="12"/>
    </row>
    <row r="193" spans="4:4" x14ac:dyDescent="0.25">
      <c r="D193" s="12"/>
    </row>
    <row r="194" spans="4:4" x14ac:dyDescent="0.25">
      <c r="D194" s="12"/>
    </row>
    <row r="195" spans="4:4" x14ac:dyDescent="0.25">
      <c r="D195" s="12"/>
    </row>
    <row r="196" spans="4:4" x14ac:dyDescent="0.25">
      <c r="D196" s="12"/>
    </row>
    <row r="197" spans="4:4" x14ac:dyDescent="0.25">
      <c r="D197" s="12"/>
    </row>
    <row r="198" spans="4:4" x14ac:dyDescent="0.25">
      <c r="D198" s="12"/>
    </row>
    <row r="199" spans="4:4" x14ac:dyDescent="0.25">
      <c r="D199" s="12"/>
    </row>
    <row r="200" spans="4:4" x14ac:dyDescent="0.25">
      <c r="D200" s="12"/>
    </row>
    <row r="201" spans="4:4" x14ac:dyDescent="0.25">
      <c r="D201" s="12"/>
    </row>
    <row r="202" spans="4:4" x14ac:dyDescent="0.25">
      <c r="D202" s="12"/>
    </row>
    <row r="203" spans="4:4" x14ac:dyDescent="0.25">
      <c r="D203" s="12"/>
    </row>
    <row r="204" spans="4:4" x14ac:dyDescent="0.25">
      <c r="D204" s="12"/>
    </row>
    <row r="205" spans="4:4" x14ac:dyDescent="0.25">
      <c r="D205" s="12"/>
    </row>
    <row r="206" spans="4:4" x14ac:dyDescent="0.25">
      <c r="D206" s="12"/>
    </row>
    <row r="207" spans="4:4" x14ac:dyDescent="0.25">
      <c r="D207" s="12"/>
    </row>
    <row r="208" spans="4:4" x14ac:dyDescent="0.25">
      <c r="D208" s="12"/>
    </row>
    <row r="209" spans="4:4" x14ac:dyDescent="0.25">
      <c r="D209" s="12"/>
    </row>
    <row r="210" spans="4:4" x14ac:dyDescent="0.25">
      <c r="D210" s="12"/>
    </row>
    <row r="211" spans="4:4" x14ac:dyDescent="0.25">
      <c r="D211" s="12"/>
    </row>
    <row r="212" spans="4:4" x14ac:dyDescent="0.25">
      <c r="D212" s="12"/>
    </row>
    <row r="213" spans="4:4" x14ac:dyDescent="0.25">
      <c r="D213" s="12"/>
    </row>
    <row r="214" spans="4:4" x14ac:dyDescent="0.25">
      <c r="D214" s="12"/>
    </row>
    <row r="215" spans="4:4" x14ac:dyDescent="0.25">
      <c r="D215" s="12"/>
    </row>
    <row r="216" spans="4:4" x14ac:dyDescent="0.25">
      <c r="D216" s="12"/>
    </row>
    <row r="217" spans="4:4" x14ac:dyDescent="0.25">
      <c r="D217" s="12"/>
    </row>
    <row r="218" spans="4:4" x14ac:dyDescent="0.25">
      <c r="D218" s="12"/>
    </row>
    <row r="219" spans="4:4" x14ac:dyDescent="0.25">
      <c r="D219" s="12"/>
    </row>
    <row r="220" spans="4:4" x14ac:dyDescent="0.25">
      <c r="D220" s="12"/>
    </row>
    <row r="221" spans="4:4" x14ac:dyDescent="0.25">
      <c r="D221" s="12"/>
    </row>
    <row r="222" spans="4:4" x14ac:dyDescent="0.25">
      <c r="D222" s="12"/>
    </row>
    <row r="223" spans="4:4" x14ac:dyDescent="0.25">
      <c r="D223" s="12"/>
    </row>
    <row r="224" spans="4:4" x14ac:dyDescent="0.25">
      <c r="D224" s="12"/>
    </row>
    <row r="225" spans="4:4" x14ac:dyDescent="0.25">
      <c r="D225" s="12"/>
    </row>
    <row r="226" spans="4:4" x14ac:dyDescent="0.25">
      <c r="D226" s="12"/>
    </row>
    <row r="227" spans="4:4" x14ac:dyDescent="0.25">
      <c r="D227" s="12"/>
    </row>
    <row r="228" spans="4:4" x14ac:dyDescent="0.25">
      <c r="D228" s="12"/>
    </row>
    <row r="229" spans="4:4" x14ac:dyDescent="0.25">
      <c r="D229" s="12"/>
    </row>
    <row r="230" spans="4:4" x14ac:dyDescent="0.25">
      <c r="D230" s="12"/>
    </row>
    <row r="231" spans="4:4" x14ac:dyDescent="0.25">
      <c r="D231" s="12"/>
    </row>
    <row r="232" spans="4:4" x14ac:dyDescent="0.25">
      <c r="D232" s="12"/>
    </row>
    <row r="233" spans="4:4" x14ac:dyDescent="0.25">
      <c r="D233" s="12"/>
    </row>
    <row r="234" spans="4:4" x14ac:dyDescent="0.25">
      <c r="D234" s="12"/>
    </row>
    <row r="235" spans="4:4" x14ac:dyDescent="0.25">
      <c r="D235" s="12"/>
    </row>
    <row r="236" spans="4:4" x14ac:dyDescent="0.25">
      <c r="D236" s="12"/>
    </row>
    <row r="237" spans="4:4" x14ac:dyDescent="0.25">
      <c r="D237" s="12"/>
    </row>
    <row r="238" spans="4:4" x14ac:dyDescent="0.25">
      <c r="D238" s="12"/>
    </row>
    <row r="239" spans="4:4" x14ac:dyDescent="0.25">
      <c r="D239" s="12"/>
    </row>
    <row r="240" spans="4:4" x14ac:dyDescent="0.25">
      <c r="D240" s="12"/>
    </row>
    <row r="241" spans="4:4" x14ac:dyDescent="0.25">
      <c r="D241" s="12"/>
    </row>
    <row r="242" spans="4:4" x14ac:dyDescent="0.25">
      <c r="D242" s="12"/>
    </row>
    <row r="243" spans="4:4" x14ac:dyDescent="0.25">
      <c r="D243" s="12"/>
    </row>
    <row r="244" spans="4:4" x14ac:dyDescent="0.25">
      <c r="D244" s="1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6804-B4B8-4E1E-92E3-E8E1B48AF4EF}">
  <dimension ref="A2:H18"/>
  <sheetViews>
    <sheetView zoomScale="115" zoomScaleNormal="115" workbookViewId="0">
      <selection activeCell="S6" sqref="S6"/>
    </sheetView>
  </sheetViews>
  <sheetFormatPr defaultRowHeight="15" x14ac:dyDescent="0.25"/>
  <cols>
    <col min="4" max="4" width="13.7109375" customWidth="1"/>
  </cols>
  <sheetData>
    <row r="2" spans="1:8" ht="45.75" customHeight="1" x14ac:dyDescent="0.25">
      <c r="A2" s="29" t="s">
        <v>1</v>
      </c>
      <c r="B2" s="29" t="s">
        <v>2</v>
      </c>
      <c r="C2" s="29" t="s">
        <v>56</v>
      </c>
      <c r="D2" s="35" t="s">
        <v>61</v>
      </c>
      <c r="E2" s="38" t="s">
        <v>55</v>
      </c>
      <c r="F2" s="29" t="s">
        <v>79</v>
      </c>
      <c r="G2" s="29" t="s">
        <v>80</v>
      </c>
      <c r="H2" s="34" t="s">
        <v>78</v>
      </c>
    </row>
    <row r="3" spans="1:8" ht="44.25" customHeight="1" x14ac:dyDescent="0.25">
      <c r="A3" s="6">
        <v>4</v>
      </c>
      <c r="B3" s="6">
        <v>16</v>
      </c>
      <c r="C3" s="6">
        <v>0</v>
      </c>
      <c r="D3" s="31"/>
      <c r="E3" s="36" t="e" vm="17">
        <v>#VALUE!</v>
      </c>
      <c r="F3" s="36" t="e" vm="18">
        <v>#VALUE!</v>
      </c>
      <c r="G3" s="36" t="e" vm="19">
        <v>#VALUE!</v>
      </c>
      <c r="H3" s="34">
        <v>0.05</v>
      </c>
    </row>
    <row r="4" spans="1:8" ht="44.25" customHeight="1" x14ac:dyDescent="0.25">
      <c r="A4" s="6">
        <v>4</v>
      </c>
      <c r="B4" s="6">
        <v>16</v>
      </c>
      <c r="C4" s="6">
        <v>0.05</v>
      </c>
      <c r="D4" s="31"/>
      <c r="E4" s="36" t="e" vm="17">
        <v>#VALUE!</v>
      </c>
      <c r="F4" s="36" t="e" vm="20">
        <v>#VALUE!</v>
      </c>
      <c r="G4" s="36" t="e" vm="21">
        <v>#VALUE!</v>
      </c>
      <c r="H4" s="34">
        <v>0.4</v>
      </c>
    </row>
    <row r="5" spans="1:8" ht="44.25" customHeight="1" x14ac:dyDescent="0.25">
      <c r="A5" s="6">
        <v>4</v>
      </c>
      <c r="B5" s="6">
        <v>16</v>
      </c>
      <c r="C5" s="6">
        <v>0.1</v>
      </c>
      <c r="D5" s="31"/>
      <c r="E5" s="36" t="e" vm="17">
        <v>#VALUE!</v>
      </c>
      <c r="F5" s="36" t="e" vm="22">
        <v>#VALUE!</v>
      </c>
      <c r="G5" s="36" t="e" vm="23">
        <v>#VALUE!</v>
      </c>
      <c r="H5" s="34">
        <v>0.8</v>
      </c>
    </row>
    <row r="6" spans="1:8" ht="44.25" customHeight="1" x14ac:dyDescent="0.25">
      <c r="A6" s="6">
        <v>4</v>
      </c>
      <c r="B6" s="6">
        <v>16</v>
      </c>
      <c r="C6" s="6">
        <v>0.15</v>
      </c>
      <c r="D6" s="31"/>
      <c r="E6" s="36" t="e" vm="17">
        <v>#VALUE!</v>
      </c>
      <c r="F6" s="36" t="e" vm="24">
        <v>#VALUE!</v>
      </c>
      <c r="G6" s="36" t="e" vm="25">
        <v>#VALUE!</v>
      </c>
      <c r="H6" s="34">
        <v>1.23</v>
      </c>
    </row>
    <row r="7" spans="1:8" ht="44.25" customHeight="1" x14ac:dyDescent="0.25">
      <c r="A7" s="6">
        <v>4</v>
      </c>
      <c r="B7" s="6">
        <v>16</v>
      </c>
      <c r="C7" s="6">
        <v>0.2</v>
      </c>
      <c r="D7" s="31"/>
      <c r="E7" s="36" t="e" vm="17">
        <v>#VALUE!</v>
      </c>
      <c r="F7" s="36" t="e" vm="26">
        <v>#VALUE!</v>
      </c>
      <c r="G7" s="36" t="e" vm="27">
        <v>#VALUE!</v>
      </c>
      <c r="H7" s="34">
        <v>1.74</v>
      </c>
    </row>
    <row r="8" spans="1:8" ht="44.25" customHeight="1" x14ac:dyDescent="0.25">
      <c r="A8" s="6">
        <v>4</v>
      </c>
      <c r="B8" s="6">
        <v>16</v>
      </c>
      <c r="C8" s="6">
        <v>0.25</v>
      </c>
      <c r="D8" s="31"/>
      <c r="E8" s="36" t="e" vm="17">
        <v>#VALUE!</v>
      </c>
      <c r="F8" s="36" t="e" vm="28">
        <v>#VALUE!</v>
      </c>
      <c r="G8" s="36" t="e" vm="29">
        <v>#VALUE!</v>
      </c>
      <c r="H8" s="34">
        <v>2.31</v>
      </c>
    </row>
    <row r="9" spans="1:8" ht="44.25" customHeight="1" x14ac:dyDescent="0.25">
      <c r="A9" s="6">
        <v>4</v>
      </c>
      <c r="B9" s="6">
        <v>16</v>
      </c>
      <c r="C9" s="6">
        <v>0.3</v>
      </c>
      <c r="D9" s="31"/>
      <c r="E9" s="36" t="e" vm="17">
        <v>#VALUE!</v>
      </c>
      <c r="F9" s="36" t="e" vm="30">
        <v>#VALUE!</v>
      </c>
      <c r="G9" s="36" t="e" vm="31">
        <v>#VALUE!</v>
      </c>
      <c r="H9" s="34">
        <v>2.72</v>
      </c>
    </row>
    <row r="10" spans="1:8" ht="44.25" customHeight="1" x14ac:dyDescent="0.25">
      <c r="A10" s="6">
        <v>4</v>
      </c>
      <c r="B10" s="6">
        <v>16</v>
      </c>
      <c r="C10" s="6">
        <v>0.35</v>
      </c>
      <c r="D10" s="31"/>
      <c r="E10" s="36" t="e" vm="17">
        <v>#VALUE!</v>
      </c>
      <c r="F10" s="36" t="e" vm="32">
        <v>#VALUE!</v>
      </c>
      <c r="G10" s="36" t="e" vm="33">
        <v>#VALUE!</v>
      </c>
      <c r="H10" s="34">
        <v>3.29</v>
      </c>
    </row>
    <row r="11" spans="1:8" ht="44.25" customHeight="1" x14ac:dyDescent="0.25">
      <c r="A11" s="6">
        <v>4</v>
      </c>
      <c r="B11" s="6">
        <v>16</v>
      </c>
      <c r="C11" s="6">
        <v>0.4</v>
      </c>
      <c r="D11" s="31"/>
      <c r="E11" s="36" t="e" vm="17">
        <v>#VALUE!</v>
      </c>
      <c r="F11" s="36" t="e" vm="34">
        <v>#VALUE!</v>
      </c>
      <c r="G11" s="36" t="e" vm="35">
        <v>#VALUE!</v>
      </c>
      <c r="H11" s="34">
        <v>3.75</v>
      </c>
    </row>
    <row r="12" spans="1:8" ht="44.25" customHeight="1" x14ac:dyDescent="0.25">
      <c r="A12" s="6">
        <v>4</v>
      </c>
      <c r="B12" s="6">
        <v>16</v>
      </c>
      <c r="C12" s="6">
        <v>0.5</v>
      </c>
      <c r="D12" s="31"/>
      <c r="E12" s="36" t="e" vm="17">
        <v>#VALUE!</v>
      </c>
      <c r="F12" s="36" t="e" vm="36">
        <v>#VALUE!</v>
      </c>
      <c r="G12" s="36" t="e" vm="37">
        <v>#VALUE!</v>
      </c>
      <c r="H12" s="34">
        <v>4.05</v>
      </c>
    </row>
    <row r="13" spans="1:8" ht="45" customHeight="1" x14ac:dyDescent="0.25">
      <c r="A13" s="6">
        <v>4</v>
      </c>
      <c r="B13" s="6">
        <v>16</v>
      </c>
      <c r="C13" s="6">
        <v>0.6</v>
      </c>
      <c r="D13" s="31"/>
      <c r="E13" s="36" t="e" vm="17">
        <v>#VALUE!</v>
      </c>
      <c r="F13" s="36" t="e" vm="38">
        <v>#VALUE!</v>
      </c>
      <c r="G13" s="36" t="e" vm="39">
        <v>#VALUE!</v>
      </c>
      <c r="H13" s="34">
        <v>4.38</v>
      </c>
    </row>
    <row r="14" spans="1:8" ht="45" customHeight="1" x14ac:dyDescent="0.25">
      <c r="A14" s="6">
        <v>4</v>
      </c>
      <c r="B14" s="6">
        <v>16</v>
      </c>
      <c r="C14" s="6">
        <v>0.7</v>
      </c>
      <c r="D14" s="31"/>
      <c r="E14" s="36" t="e" vm="17">
        <v>#VALUE!</v>
      </c>
      <c r="F14" s="36" t="e" vm="40">
        <v>#VALUE!</v>
      </c>
      <c r="G14" s="36" t="e" vm="41">
        <v>#VALUE!</v>
      </c>
      <c r="H14" s="34">
        <v>4.3</v>
      </c>
    </row>
    <row r="15" spans="1:8" ht="45" customHeight="1" x14ac:dyDescent="0.25">
      <c r="A15" s="6">
        <v>4</v>
      </c>
      <c r="B15" s="6">
        <v>16</v>
      </c>
      <c r="C15" s="6">
        <v>0.8</v>
      </c>
      <c r="D15" s="31"/>
      <c r="E15" s="36" t="e" vm="17">
        <v>#VALUE!</v>
      </c>
      <c r="F15" s="36" t="e" vm="42">
        <v>#VALUE!</v>
      </c>
      <c r="G15" s="36" t="e" vm="43">
        <v>#VALUE!</v>
      </c>
      <c r="H15" s="34">
        <v>3.65</v>
      </c>
    </row>
    <row r="16" spans="1:8" ht="45" customHeight="1" x14ac:dyDescent="0.25">
      <c r="A16" s="6">
        <v>4</v>
      </c>
      <c r="B16" s="6">
        <v>16</v>
      </c>
      <c r="C16" s="6">
        <v>0.9</v>
      </c>
      <c r="D16" s="31"/>
      <c r="E16" s="36" t="e" vm="17">
        <v>#VALUE!</v>
      </c>
      <c r="F16" s="36" t="e" vm="44">
        <v>#VALUE!</v>
      </c>
      <c r="G16" s="36" t="e" vm="45">
        <v>#VALUE!</v>
      </c>
      <c r="H16" s="34">
        <v>3.83</v>
      </c>
    </row>
    <row r="17" spans="1:8" ht="45" customHeight="1" x14ac:dyDescent="0.25">
      <c r="A17" s="39">
        <v>4</v>
      </c>
      <c r="B17" s="39">
        <v>16</v>
      </c>
      <c r="C17" s="39">
        <v>1</v>
      </c>
      <c r="D17" s="40"/>
      <c r="E17" s="41" t="e" vm="17">
        <v>#VALUE!</v>
      </c>
      <c r="F17" s="41" t="e" vm="46">
        <v>#VALUE!</v>
      </c>
      <c r="G17" s="41" t="e" vm="47">
        <v>#VALUE!</v>
      </c>
      <c r="H17" s="9">
        <v>2.74</v>
      </c>
    </row>
    <row r="18" spans="1:8" x14ac:dyDescent="0.25">
      <c r="A18" s="42"/>
      <c r="B18" s="42"/>
      <c r="C18" s="42"/>
      <c r="D18" s="43"/>
      <c r="E18" s="44"/>
      <c r="F18" s="44"/>
      <c r="G18" s="44"/>
      <c r="H18" s="4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2BA3-7D4E-40BC-BA35-883F2B8C2618}">
  <dimension ref="A1:Q17"/>
  <sheetViews>
    <sheetView tabSelected="1" topLeftCell="F1" zoomScale="115" zoomScaleNormal="115" workbookViewId="0">
      <selection activeCell="S12" sqref="S12"/>
    </sheetView>
  </sheetViews>
  <sheetFormatPr defaultRowHeight="15" x14ac:dyDescent="0.25"/>
  <cols>
    <col min="5" max="6" width="17.85546875" customWidth="1"/>
    <col min="7" max="7" width="24.7109375" customWidth="1"/>
    <col min="9" max="9" width="19.42578125" customWidth="1"/>
  </cols>
  <sheetData>
    <row r="1" spans="1:9" x14ac:dyDescent="0.25">
      <c r="A1" t="s">
        <v>54</v>
      </c>
    </row>
    <row r="2" spans="1:9" ht="90" x14ac:dyDescent="0.25">
      <c r="A2" s="29" t="s">
        <v>1</v>
      </c>
      <c r="B2" s="29" t="s">
        <v>2</v>
      </c>
      <c r="C2" s="29" t="s">
        <v>56</v>
      </c>
      <c r="D2" s="35" t="s">
        <v>61</v>
      </c>
      <c r="E2" s="29" t="s">
        <v>55</v>
      </c>
      <c r="F2" s="29"/>
      <c r="G2" s="29" t="s">
        <v>57</v>
      </c>
      <c r="H2" s="34" t="s">
        <v>93</v>
      </c>
      <c r="I2" s="34" t="s">
        <v>92</v>
      </c>
    </row>
    <row r="3" spans="1:9" x14ac:dyDescent="0.25">
      <c r="A3" s="6">
        <v>4</v>
      </c>
      <c r="B3" s="6">
        <v>16</v>
      </c>
      <c r="C3" s="6">
        <v>0</v>
      </c>
      <c r="D3" s="31"/>
      <c r="E3" s="36" t="s">
        <v>81</v>
      </c>
      <c r="F3" s="36" t="s">
        <v>81</v>
      </c>
      <c r="G3" s="36" t="s">
        <v>81</v>
      </c>
      <c r="H3" s="34" cm="1">
        <f t="array" ref="H3">SUM(--(MID(E3,_xlfn.SEQUENCE(LEN(E3)),1)&lt;&gt;MID(G3,_xlfn.SEQUENCE(LEN(G3)),1)))</f>
        <v>0</v>
      </c>
      <c r="I3" s="34" cm="1">
        <f t="array" ref="I3">SUM(--(MID(E3,_xlfn.SEQUENCE(LEN(E3)),1)&lt;&gt;MID(F3,_xlfn.SEQUENCE(LEN(F3)),1)))</f>
        <v>0</v>
      </c>
    </row>
    <row r="4" spans="1:9" x14ac:dyDescent="0.25">
      <c r="A4" s="6">
        <v>4</v>
      </c>
      <c r="B4" s="6">
        <v>16</v>
      </c>
      <c r="C4" s="6">
        <v>0.01</v>
      </c>
      <c r="D4" s="31"/>
      <c r="E4" s="36" t="s">
        <v>81</v>
      </c>
      <c r="F4" s="36" t="s">
        <v>81</v>
      </c>
      <c r="G4" s="36" t="s">
        <v>90</v>
      </c>
      <c r="H4" s="34" cm="1">
        <f t="array" ref="H4">SUM(--(MID(E4,_xlfn.SEQUENCE(LEN(E4)),1)&lt;&gt;MID(G4,_xlfn.SEQUENCE(LEN(G4)),1)))</f>
        <v>3</v>
      </c>
      <c r="I4" s="34" cm="1">
        <f t="array" ref="I4">SUM(--(MID(E4,_xlfn.SEQUENCE(LEN(E4)),1)&lt;&gt;MID(F4,_xlfn.SEQUENCE(LEN(F4)),1)))</f>
        <v>0</v>
      </c>
    </row>
    <row r="5" spans="1:9" x14ac:dyDescent="0.25">
      <c r="A5" s="6">
        <v>4</v>
      </c>
      <c r="B5" s="6">
        <v>16</v>
      </c>
      <c r="C5" s="6">
        <v>0.02</v>
      </c>
      <c r="D5" s="31"/>
      <c r="E5" s="36" t="s">
        <v>81</v>
      </c>
      <c r="F5" s="36" t="s">
        <v>81</v>
      </c>
      <c r="G5" s="36" t="s">
        <v>89</v>
      </c>
      <c r="H5" s="34" cm="1">
        <f t="array" ref="H5">SUM(--(MID(E5,_xlfn.SEQUENCE(LEN(E5)),1)&lt;&gt;MID(G5,_xlfn.SEQUENCE(LEN(G5)),1)))</f>
        <v>2</v>
      </c>
      <c r="I5" s="34" cm="1">
        <f t="array" ref="I5">SUM(--(MID(E5,_xlfn.SEQUENCE(LEN(E5)),1)&lt;&gt;MID(F5,_xlfn.SEQUENCE(LEN(F5)),1)))</f>
        <v>0</v>
      </c>
    </row>
    <row r="6" spans="1:9" x14ac:dyDescent="0.25">
      <c r="A6" s="6">
        <v>4</v>
      </c>
      <c r="B6" s="6">
        <v>16</v>
      </c>
      <c r="C6" s="6">
        <v>0.03</v>
      </c>
      <c r="D6" s="31"/>
      <c r="E6" s="36" t="s">
        <v>81</v>
      </c>
      <c r="F6" s="36" t="s">
        <v>83</v>
      </c>
      <c r="G6" s="36" t="s">
        <v>82</v>
      </c>
      <c r="H6" s="34" cm="1">
        <f t="array" ref="H6">SUM(--(MID(E6,_xlfn.SEQUENCE(LEN(E6)),1)&lt;&gt;MID(G6,_xlfn.SEQUENCE(LEN(G6)),1)))</f>
        <v>6</v>
      </c>
      <c r="I6" s="34" cm="1">
        <f t="array" ref="I6">SUM(--(MID(E6,_xlfn.SEQUENCE(LEN(E6)),1)&lt;&gt;MID(F6,_xlfn.SEQUENCE(LEN(F6)),1)))</f>
        <v>1</v>
      </c>
    </row>
    <row r="7" spans="1:9" x14ac:dyDescent="0.25">
      <c r="A7" s="6">
        <v>4</v>
      </c>
      <c r="B7" s="6">
        <v>16</v>
      </c>
      <c r="C7" s="6">
        <v>0.04</v>
      </c>
      <c r="D7" s="31"/>
      <c r="E7" s="36" t="s">
        <v>81</v>
      </c>
      <c r="F7" s="36" t="s">
        <v>81</v>
      </c>
      <c r="G7" s="36" t="s">
        <v>84</v>
      </c>
      <c r="H7" s="34" cm="1">
        <f t="array" ref="H7">SUM(--(MID(E7,_xlfn.SEQUENCE(LEN(E7)),1)&lt;&gt;MID(G7,_xlfn.SEQUENCE(LEN(G7)),1)))</f>
        <v>5</v>
      </c>
      <c r="I7" s="34" cm="1">
        <f t="array" ref="I7">SUM(--(MID(E7,_xlfn.SEQUENCE(LEN(E7)),1)&lt;&gt;MID(F7,_xlfn.SEQUENCE(LEN(F7)),1)))</f>
        <v>0</v>
      </c>
    </row>
    <row r="8" spans="1:9" x14ac:dyDescent="0.25">
      <c r="A8" s="6">
        <v>4</v>
      </c>
      <c r="B8" s="6">
        <v>16</v>
      </c>
      <c r="C8" s="6">
        <v>0.05</v>
      </c>
      <c r="D8" s="31"/>
      <c r="E8" s="36" t="s">
        <v>81</v>
      </c>
      <c r="F8" s="36" t="s">
        <v>87</v>
      </c>
      <c r="G8" s="36" t="s">
        <v>88</v>
      </c>
      <c r="H8" s="34" cm="1">
        <f t="array" ref="H8">SUM(--(MID(E8,_xlfn.SEQUENCE(LEN(E8)),1)&lt;&gt;MID(G8,_xlfn.SEQUENCE(LEN(G8)),1)))</f>
        <v>6</v>
      </c>
      <c r="I8" s="34" cm="1">
        <f t="array" ref="I8">SUM(--(MID(E8,_xlfn.SEQUENCE(LEN(E8)),1)&lt;&gt;MID(F8,_xlfn.SEQUENCE(LEN(F8)),1)))</f>
        <v>1</v>
      </c>
    </row>
    <row r="9" spans="1:9" x14ac:dyDescent="0.25">
      <c r="A9" s="6">
        <v>4</v>
      </c>
      <c r="B9" s="6">
        <v>16</v>
      </c>
      <c r="C9" s="6">
        <v>0.06</v>
      </c>
      <c r="D9" s="31"/>
      <c r="E9" s="36" t="s">
        <v>81</v>
      </c>
      <c r="F9" s="36" t="s">
        <v>85</v>
      </c>
      <c r="G9" s="36" t="s">
        <v>86</v>
      </c>
      <c r="H9" s="34" cm="1">
        <f t="array" ref="H9">SUM(--(MID(E9,_xlfn.SEQUENCE(LEN(E9)),1)&lt;&gt;MID(G9,_xlfn.SEQUENCE(LEN(G9)),1)))</f>
        <v>7</v>
      </c>
      <c r="I9" s="34" cm="1">
        <f t="array" ref="I9">SUM(--(MID(E9,_xlfn.SEQUENCE(LEN(E9)),1)&lt;&gt;MID(F9,_xlfn.SEQUENCE(LEN(F9)),1)))</f>
        <v>1</v>
      </c>
    </row>
    <row r="10" spans="1:9" x14ac:dyDescent="0.25">
      <c r="A10" s="6">
        <v>4</v>
      </c>
      <c r="B10" s="6">
        <v>16</v>
      </c>
      <c r="C10" s="6">
        <v>7.0000000000000007E-2</v>
      </c>
      <c r="D10" s="31"/>
      <c r="E10" s="36" t="s">
        <v>81</v>
      </c>
      <c r="F10" s="36" t="s">
        <v>81</v>
      </c>
      <c r="G10" s="36" t="s">
        <v>91</v>
      </c>
      <c r="H10" s="34" cm="1">
        <f t="array" ref="H10">SUM(--(MID(E10,_xlfn.SEQUENCE(LEN(E10)),1)&lt;&gt;MID(G10,_xlfn.SEQUENCE(LEN(G10)),1)))</f>
        <v>3</v>
      </c>
      <c r="I10" s="34" cm="1">
        <f t="array" ref="I10">SUM(--(MID(E10,_xlfn.SEQUENCE(LEN(E10)),1)&lt;&gt;MID(F10,_xlfn.SEQUENCE(LEN(F10)),1)))</f>
        <v>0</v>
      </c>
    </row>
    <row r="11" spans="1:9" x14ac:dyDescent="0.25">
      <c r="A11" s="6"/>
      <c r="B11" s="6"/>
      <c r="C11" s="6"/>
      <c r="D11" s="31"/>
      <c r="E11" s="36"/>
      <c r="F11" s="36"/>
      <c r="G11" s="36"/>
      <c r="H11" s="34"/>
      <c r="I11" s="34"/>
    </row>
    <row r="12" spans="1:9" x14ac:dyDescent="0.25">
      <c r="A12" s="6"/>
      <c r="B12" s="6"/>
      <c r="C12" s="6"/>
      <c r="D12" s="31"/>
      <c r="E12" s="36"/>
      <c r="F12" s="36"/>
      <c r="G12" s="36"/>
      <c r="H12" s="34"/>
      <c r="I12" s="34"/>
    </row>
    <row r="13" spans="1:9" x14ac:dyDescent="0.25">
      <c r="A13" s="6"/>
      <c r="B13" s="6"/>
      <c r="C13" s="6"/>
      <c r="D13" s="31"/>
      <c r="E13" s="36"/>
      <c r="F13" s="36"/>
      <c r="G13" s="36"/>
      <c r="H13" s="34"/>
      <c r="I13" s="34"/>
    </row>
    <row r="14" spans="1:9" x14ac:dyDescent="0.25">
      <c r="A14" s="6"/>
      <c r="B14" s="6"/>
      <c r="C14" s="6"/>
      <c r="D14" s="31"/>
      <c r="E14" s="36"/>
      <c r="F14" s="36"/>
      <c r="G14" s="36"/>
      <c r="H14" s="34"/>
      <c r="I14" s="34"/>
    </row>
    <row r="15" spans="1:9" x14ac:dyDescent="0.25">
      <c r="A15" s="6"/>
      <c r="B15" s="6"/>
      <c r="C15" s="6"/>
      <c r="D15" s="31"/>
      <c r="E15" s="36"/>
      <c r="F15" s="36"/>
      <c r="G15" s="36"/>
      <c r="H15" s="34"/>
      <c r="I15" s="34"/>
    </row>
    <row r="16" spans="1:9" x14ac:dyDescent="0.25">
      <c r="A16" s="6"/>
      <c r="B16" s="6"/>
      <c r="C16" s="6"/>
      <c r="D16" s="31"/>
      <c r="E16" s="36"/>
      <c r="F16" s="36"/>
      <c r="G16" s="36"/>
      <c r="H16" s="34"/>
      <c r="I16" s="34"/>
    </row>
    <row r="17" spans="10:17" x14ac:dyDescent="0.25">
      <c r="J17" s="54" t="s">
        <v>94</v>
      </c>
      <c r="K17" s="54"/>
      <c r="L17" s="54"/>
      <c r="M17" s="54"/>
      <c r="N17" s="54"/>
      <c r="O17" s="54"/>
      <c r="P17" s="54"/>
      <c r="Q17" s="54"/>
    </row>
  </sheetData>
  <mergeCells count="1">
    <mergeCell ref="J17:Q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Eksperimentai</vt:lpstr>
      <vt:lpstr>1 Statistika</vt:lpstr>
      <vt:lpstr>2 Statistika</vt:lpstr>
      <vt:lpstr>3 Statistika</vt:lpstr>
      <vt:lpstr>4 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-</dc:creator>
  <cp:lastModifiedBy>User -</cp:lastModifiedBy>
  <cp:lastPrinted>2024-12-04T17:41:38Z</cp:lastPrinted>
  <dcterms:created xsi:type="dcterms:W3CDTF">2024-11-29T14:34:06Z</dcterms:created>
  <dcterms:modified xsi:type="dcterms:W3CDTF">2024-12-06T14:12:44Z</dcterms:modified>
</cp:coreProperties>
</file>